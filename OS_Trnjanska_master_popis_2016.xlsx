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SCOLLAm\Eksperimenti\Popis učenika\"/>
    </mc:Choice>
  </mc:AlternateContent>
  <bookViews>
    <workbookView xWindow="0" yWindow="0" windowWidth="11235" windowHeight="3075" activeTab="1"/>
  </bookViews>
  <sheets>
    <sheet name="1A" sheetId="1" r:id="rId1"/>
    <sheet name="1B" sheetId="2" r:id="rId2"/>
    <sheet name="2" sheetId="5" r:id="rId3"/>
    <sheet name="3" sheetId="6" r:id="rId4"/>
    <sheet name="Import_svi" sheetId="8" r:id="rId5"/>
    <sheet name="Naljepnice" sheetId="7" r:id="rId6"/>
    <sheet name="Naljepnice AR samo droidi" sheetId="10" r:id="rId7"/>
    <sheet name="Eksperiment1_Mia-3.3.-3R" sheetId="9" r:id="rId8"/>
    <sheet name="Eksperimenti2_Mia-16.3.-1B" sheetId="11" r:id="rId9"/>
    <sheet name="Eksperimenti2_Mia-16.3.-1A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8" i="7" l="1"/>
  <c r="K48" i="7"/>
  <c r="K47" i="7"/>
  <c r="I46" i="7"/>
  <c r="H46" i="7"/>
  <c r="H45" i="7"/>
  <c r="H3" i="7" l="1"/>
  <c r="L46" i="7"/>
  <c r="K46" i="7"/>
  <c r="K45" i="7"/>
  <c r="L44" i="7"/>
  <c r="L42" i="7"/>
  <c r="L40" i="7"/>
  <c r="L38" i="7"/>
  <c r="L36" i="7"/>
  <c r="K44" i="7"/>
  <c r="K43" i="7"/>
  <c r="K42" i="7"/>
  <c r="K41" i="7"/>
  <c r="K40" i="7"/>
  <c r="K39" i="7"/>
  <c r="K38" i="7"/>
  <c r="K37" i="7"/>
  <c r="K36" i="7"/>
  <c r="K35" i="7"/>
  <c r="I44" i="7"/>
  <c r="H44" i="7"/>
  <c r="H43" i="7"/>
  <c r="I42" i="7"/>
  <c r="H42" i="7"/>
  <c r="H41" i="7"/>
  <c r="I40" i="7"/>
  <c r="H40" i="7"/>
  <c r="H39" i="7"/>
  <c r="I38" i="7"/>
  <c r="H38" i="7"/>
  <c r="H37" i="7"/>
  <c r="I36" i="7"/>
  <c r="H36" i="7"/>
  <c r="H35" i="7"/>
  <c r="C36" i="7"/>
  <c r="B36" i="7"/>
  <c r="B35" i="7"/>
  <c r="L34" i="7"/>
  <c r="K34" i="7"/>
  <c r="K33" i="7"/>
  <c r="L32" i="7"/>
  <c r="K32" i="7"/>
  <c r="K31" i="7"/>
  <c r="L30" i="7"/>
  <c r="K30" i="7"/>
  <c r="K29" i="7"/>
  <c r="L28" i="7"/>
  <c r="K28" i="7"/>
  <c r="K27" i="7"/>
  <c r="L26" i="7"/>
  <c r="K26" i="7"/>
  <c r="K25" i="7"/>
  <c r="L24" i="7"/>
  <c r="K24" i="7"/>
  <c r="K23" i="7"/>
  <c r="L22" i="7"/>
  <c r="K22" i="7"/>
  <c r="K21" i="7"/>
  <c r="L20" i="7"/>
  <c r="K20" i="7"/>
  <c r="K19" i="7"/>
  <c r="L18" i="7"/>
  <c r="K18" i="7"/>
  <c r="K17" i="7"/>
  <c r="L16" i="7"/>
  <c r="K16" i="7"/>
  <c r="K15" i="7"/>
  <c r="L14" i="7"/>
  <c r="K14" i="7"/>
  <c r="K13" i="7"/>
  <c r="L12" i="7"/>
  <c r="K12" i="7"/>
  <c r="K11" i="7"/>
  <c r="L10" i="7"/>
  <c r="K10" i="7"/>
  <c r="K9" i="7"/>
  <c r="L8" i="7"/>
  <c r="K8" i="7"/>
  <c r="K7" i="7"/>
  <c r="L6" i="7"/>
  <c r="K6" i="7"/>
  <c r="K5" i="7"/>
  <c r="L4" i="7"/>
  <c r="K4" i="7"/>
  <c r="K3" i="7"/>
  <c r="L2" i="7"/>
  <c r="K2" i="7"/>
  <c r="K1" i="7"/>
  <c r="I34" i="7"/>
  <c r="H34" i="7"/>
  <c r="H33" i="7"/>
  <c r="I32" i="7"/>
  <c r="H32" i="7"/>
  <c r="H31" i="7"/>
  <c r="I30" i="7"/>
  <c r="H30" i="7"/>
  <c r="H29" i="7"/>
  <c r="I28" i="7"/>
  <c r="H28" i="7"/>
  <c r="H27" i="7"/>
  <c r="I26" i="7"/>
  <c r="H26" i="7"/>
  <c r="H25" i="7"/>
  <c r="I24" i="7"/>
  <c r="H24" i="7"/>
  <c r="H23" i="7"/>
  <c r="I22" i="7"/>
  <c r="H22" i="7"/>
  <c r="H21" i="7"/>
  <c r="I20" i="7"/>
  <c r="H20" i="7"/>
  <c r="H19" i="7"/>
  <c r="I18" i="7"/>
  <c r="H18" i="7"/>
  <c r="H17" i="7"/>
  <c r="I16" i="7"/>
  <c r="H16" i="7"/>
  <c r="H15" i="7"/>
  <c r="I14" i="7"/>
  <c r="H14" i="7"/>
  <c r="H13" i="7"/>
  <c r="I12" i="7"/>
  <c r="H12" i="7"/>
  <c r="H11" i="7"/>
  <c r="I10" i="7"/>
  <c r="H10" i="7"/>
  <c r="H9" i="7"/>
  <c r="I8" i="7"/>
  <c r="H8" i="7"/>
  <c r="H7" i="7"/>
  <c r="I6" i="7"/>
  <c r="H6" i="7"/>
  <c r="H5" i="7"/>
  <c r="I4" i="7"/>
  <c r="H4" i="7"/>
  <c r="I2" i="7"/>
  <c r="H2" i="7"/>
  <c r="H1" i="7"/>
  <c r="E1" i="7"/>
  <c r="E2" i="7"/>
  <c r="F2" i="7"/>
  <c r="E3" i="7"/>
  <c r="E4" i="7"/>
  <c r="F4" i="7"/>
  <c r="E5" i="7"/>
  <c r="E6" i="7"/>
  <c r="F6" i="7"/>
  <c r="E7" i="7"/>
  <c r="E8" i="7"/>
  <c r="F8" i="7"/>
  <c r="E9" i="7"/>
  <c r="E10" i="7"/>
  <c r="F10" i="7"/>
  <c r="E11" i="7"/>
  <c r="E12" i="7"/>
  <c r="F12" i="7"/>
  <c r="E13" i="7"/>
  <c r="E14" i="7"/>
  <c r="F14" i="7"/>
  <c r="E15" i="7"/>
  <c r="E16" i="7"/>
  <c r="F16" i="7"/>
  <c r="E17" i="7"/>
  <c r="E18" i="7"/>
  <c r="F18" i="7"/>
  <c r="E19" i="7"/>
  <c r="E20" i="7"/>
  <c r="F20" i="7"/>
  <c r="E21" i="7"/>
  <c r="E22" i="7"/>
  <c r="F22" i="7"/>
  <c r="E23" i="7"/>
  <c r="E24" i="7"/>
  <c r="F24" i="7"/>
  <c r="E25" i="7"/>
  <c r="E26" i="7"/>
  <c r="F26" i="7"/>
  <c r="E27" i="7"/>
  <c r="E28" i="7"/>
  <c r="F28" i="7"/>
  <c r="E29" i="7"/>
  <c r="E30" i="7"/>
  <c r="F30" i="7"/>
  <c r="E31" i="7"/>
  <c r="E32" i="7"/>
  <c r="F32" i="7"/>
  <c r="E33" i="7"/>
  <c r="E34" i="7"/>
  <c r="F34" i="7"/>
  <c r="C34" i="7"/>
  <c r="C32" i="7"/>
  <c r="C30" i="7"/>
  <c r="C28" i="7"/>
  <c r="C26" i="7"/>
  <c r="C24" i="7"/>
  <c r="C22" i="7"/>
  <c r="C20" i="7"/>
  <c r="C18" i="7"/>
  <c r="C16" i="7"/>
  <c r="C14" i="7"/>
  <c r="C12" i="7"/>
  <c r="C10" i="7"/>
  <c r="C8" i="7"/>
  <c r="C6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C4" i="7"/>
  <c r="B4" i="7"/>
  <c r="B3" i="7"/>
  <c r="C2" i="7"/>
  <c r="B2" i="7"/>
  <c r="B1" i="7"/>
</calcChain>
</file>

<file path=xl/sharedStrings.xml><?xml version="1.0" encoding="utf-8"?>
<sst xmlns="http://schemas.openxmlformats.org/spreadsheetml/2006/main" count="1523" uniqueCount="558">
  <si>
    <t>Ime učenika</t>
  </si>
  <si>
    <t>Prezime učenika</t>
  </si>
  <si>
    <t>Rbr.</t>
  </si>
  <si>
    <t>Angažiranost</t>
  </si>
  <si>
    <t>Socio-ekonomski status</t>
  </si>
  <si>
    <t>Radne navike</t>
  </si>
  <si>
    <t>Slaba</t>
  </si>
  <si>
    <t>Srednja</t>
  </si>
  <si>
    <t>Jaka</t>
  </si>
  <si>
    <t>Nizak</t>
  </si>
  <si>
    <t>Srednji</t>
  </si>
  <si>
    <t>Visok</t>
  </si>
  <si>
    <t>Loše</t>
  </si>
  <si>
    <t>Srednje</t>
  </si>
  <si>
    <t>Dobre</t>
  </si>
  <si>
    <t>Identifikator tableta</t>
  </si>
  <si>
    <t>Tip tableta</t>
  </si>
  <si>
    <t>Datum rođenja</t>
  </si>
  <si>
    <t>15.01.2009.</t>
  </si>
  <si>
    <t>01.12.2008.</t>
  </si>
  <si>
    <t>05.05.2008.</t>
  </si>
  <si>
    <t>09.01.2009.</t>
  </si>
  <si>
    <t>25.06.2008.</t>
  </si>
  <si>
    <t>18.11.2008.</t>
  </si>
  <si>
    <t>02.04.2008.</t>
  </si>
  <si>
    <t>23.02.2008.</t>
  </si>
  <si>
    <t>23.01.2009.</t>
  </si>
  <si>
    <t>22.09.2008.</t>
  </si>
  <si>
    <t>30.06.2008.</t>
  </si>
  <si>
    <t>08.04.2008.</t>
  </si>
  <si>
    <t>25.03.2009.</t>
  </si>
  <si>
    <t>31.03.2009.</t>
  </si>
  <si>
    <t>04.11.2008.</t>
  </si>
  <si>
    <t>31.07.2008.</t>
  </si>
  <si>
    <t>14.11.2008.</t>
  </si>
  <si>
    <t>28.08.2008.</t>
  </si>
  <si>
    <t>11. 05. 2008.</t>
  </si>
  <si>
    <t>04. 04. 2008.</t>
  </si>
  <si>
    <t>24. 08. 2008.</t>
  </si>
  <si>
    <t>03. 03. 2009.</t>
  </si>
  <si>
    <t>01. 08. 2008.</t>
  </si>
  <si>
    <t>12. 05. 2009.</t>
  </si>
  <si>
    <t>12. 08. 2008.</t>
  </si>
  <si>
    <t>18. 08. 2008.</t>
  </si>
  <si>
    <t>30. 08. 2008.</t>
  </si>
  <si>
    <t>11. 02. 2009.</t>
  </si>
  <si>
    <t>23. 10. 2008.</t>
  </si>
  <si>
    <t>30. 01. 2009.</t>
  </si>
  <si>
    <t>12. 06. 2008.</t>
  </si>
  <si>
    <t>09. 04. 2009.</t>
  </si>
  <si>
    <t>19. 11. 2008.</t>
  </si>
  <si>
    <t>01. 03. 2009.</t>
  </si>
  <si>
    <t>Podrška obitelji</t>
  </si>
  <si>
    <t>Mala</t>
  </si>
  <si>
    <t>Velika</t>
  </si>
  <si>
    <t>AND_1</t>
  </si>
  <si>
    <t>AND_2</t>
  </si>
  <si>
    <t>AND_3</t>
  </si>
  <si>
    <t>AND_4</t>
  </si>
  <si>
    <t>AND_5</t>
  </si>
  <si>
    <t>AND_6</t>
  </si>
  <si>
    <t>AND_7</t>
  </si>
  <si>
    <t>AND_8</t>
  </si>
  <si>
    <t>AND_9</t>
  </si>
  <si>
    <t>AND_10</t>
  </si>
  <si>
    <t>AND_11</t>
  </si>
  <si>
    <t>AND_12</t>
  </si>
  <si>
    <t>AND_13</t>
  </si>
  <si>
    <t>AND_14</t>
  </si>
  <si>
    <t>AND_15</t>
  </si>
  <si>
    <t>AND_16</t>
  </si>
  <si>
    <t>AND_17</t>
  </si>
  <si>
    <t>AND_18</t>
  </si>
  <si>
    <t>WIN_1</t>
  </si>
  <si>
    <t>WIN_2</t>
  </si>
  <si>
    <t>WIN_3</t>
  </si>
  <si>
    <t>IOS_1</t>
  </si>
  <si>
    <t>IOS_2</t>
  </si>
  <si>
    <t>IOS_3</t>
  </si>
  <si>
    <t>Android</t>
  </si>
  <si>
    <t>Windows</t>
  </si>
  <si>
    <t>iOS</t>
  </si>
  <si>
    <t>AND_19</t>
  </si>
  <si>
    <t>AND_20</t>
  </si>
  <si>
    <t>AND_21</t>
  </si>
  <si>
    <t>AND_22</t>
  </si>
  <si>
    <t>AND_23</t>
  </si>
  <si>
    <t>AND_24</t>
  </si>
  <si>
    <t>WIN_4</t>
  </si>
  <si>
    <t>WIN_5</t>
  </si>
  <si>
    <t>WIN_6</t>
  </si>
  <si>
    <t>IOS_4</t>
  </si>
  <si>
    <t>IOS_5</t>
  </si>
  <si>
    <t>AND_25</t>
  </si>
  <si>
    <t>AND_26</t>
  </si>
  <si>
    <t>AND_27</t>
  </si>
  <si>
    <t>AND_28</t>
  </si>
  <si>
    <t>AND_29</t>
  </si>
  <si>
    <t>AND_30</t>
  </si>
  <si>
    <t>AND_31</t>
  </si>
  <si>
    <t>AND_32</t>
  </si>
  <si>
    <t>AND_33</t>
  </si>
  <si>
    <t>AND_34</t>
  </si>
  <si>
    <t>AND_35</t>
  </si>
  <si>
    <t>AND_36</t>
  </si>
  <si>
    <t>AND_37</t>
  </si>
  <si>
    <t>AND_38</t>
  </si>
  <si>
    <t>WIN_7</t>
  </si>
  <si>
    <t>WIN_8</t>
  </si>
  <si>
    <t>WIN_9</t>
  </si>
  <si>
    <t>WIN_10</t>
  </si>
  <si>
    <t>WIN_11</t>
  </si>
  <si>
    <t>IOS_7</t>
  </si>
  <si>
    <t>IOS_8</t>
  </si>
  <si>
    <t>IOS_9</t>
  </si>
  <si>
    <t>IOS_10</t>
  </si>
  <si>
    <t>UREĐAJ:</t>
  </si>
  <si>
    <t>IME:</t>
  </si>
  <si>
    <t>ADRIJANA</t>
  </si>
  <si>
    <t xml:space="preserve">BILOGLAV </t>
  </si>
  <si>
    <t>ANDRIJA</t>
  </si>
  <si>
    <t xml:space="preserve">ĐURIK </t>
  </si>
  <si>
    <t>LUKA</t>
  </si>
  <si>
    <t xml:space="preserve">GLAVINIĆ </t>
  </si>
  <si>
    <t>EVA</t>
  </si>
  <si>
    <t xml:space="preserve">HADŽIĆ </t>
  </si>
  <si>
    <t>BENJAMIN</t>
  </si>
  <si>
    <t>KNEŽEVIĆ</t>
  </si>
  <si>
    <t xml:space="preserve">MAJER </t>
  </si>
  <si>
    <t>LARA</t>
  </si>
  <si>
    <t xml:space="preserve">MARTINIS </t>
  </si>
  <si>
    <t>VILIM</t>
  </si>
  <si>
    <t xml:space="preserve">MATE </t>
  </si>
  <si>
    <t>NINA</t>
  </si>
  <si>
    <t xml:space="preserve">MELHER </t>
  </si>
  <si>
    <t>MATEA</t>
  </si>
  <si>
    <t xml:space="preserve">OMRČANIN </t>
  </si>
  <si>
    <t>KATARINA</t>
  </si>
  <si>
    <t xml:space="preserve">OSMAK </t>
  </si>
  <si>
    <t>JANA</t>
  </si>
  <si>
    <t xml:space="preserve">RIZVANOVIĆ ALVEDIN  </t>
  </si>
  <si>
    <t>DINO</t>
  </si>
  <si>
    <t xml:space="preserve">SEKELJ </t>
  </si>
  <si>
    <t>FILIP</t>
  </si>
  <si>
    <t xml:space="preserve">SORIĆ </t>
  </si>
  <si>
    <t>ELA</t>
  </si>
  <si>
    <t xml:space="preserve">VUJNOVIĆ </t>
  </si>
  <si>
    <t>IVAN</t>
  </si>
  <si>
    <t>BRADVICA</t>
  </si>
  <si>
    <t xml:space="preserve">JANA </t>
  </si>
  <si>
    <t>BRTAN</t>
  </si>
  <si>
    <t xml:space="preserve">TIA </t>
  </si>
  <si>
    <t>BUKOVAC</t>
  </si>
  <si>
    <t xml:space="preserve">TENA </t>
  </si>
  <si>
    <t>ČAJSA</t>
  </si>
  <si>
    <t xml:space="preserve">EMANUEL </t>
  </si>
  <si>
    <t>ČULINA</t>
  </si>
  <si>
    <t xml:space="preserve">STIPE </t>
  </si>
  <si>
    <t>ĆURČIĆ</t>
  </si>
  <si>
    <t xml:space="preserve">BRUNO </t>
  </si>
  <si>
    <t xml:space="preserve"> ĆURČIĆ</t>
  </si>
  <si>
    <t xml:space="preserve">VITO </t>
  </si>
  <si>
    <t>DEKOVIĆ</t>
  </si>
  <si>
    <t xml:space="preserve">IVAN </t>
  </si>
  <si>
    <t>DIKLIĆ</t>
  </si>
  <si>
    <t xml:space="preserve">ALAN </t>
  </si>
  <si>
    <t>DUIĆ</t>
  </si>
  <si>
    <t xml:space="preserve">ROKO </t>
  </si>
  <si>
    <t>VUJNOVIĆ</t>
  </si>
  <si>
    <t xml:space="preserve">LEON </t>
  </si>
  <si>
    <t>VALER</t>
  </si>
  <si>
    <t xml:space="preserve">MATEJ </t>
  </si>
  <si>
    <t>TRESK</t>
  </si>
  <si>
    <t xml:space="preserve">KRUNO </t>
  </si>
  <si>
    <t>ŠIMIĆ</t>
  </si>
  <si>
    <t xml:space="preserve">JAKOV </t>
  </si>
  <si>
    <t>FILIPOVIĆ</t>
  </si>
  <si>
    <t xml:space="preserve">FRAN </t>
  </si>
  <si>
    <t xml:space="preserve"> RENDULIĆ</t>
  </si>
  <si>
    <t>MARKS RUDOLF</t>
  </si>
  <si>
    <t>PRUGOVEČKI</t>
  </si>
  <si>
    <t xml:space="preserve">LUKA </t>
  </si>
  <si>
    <t>NATALY</t>
  </si>
  <si>
    <t xml:space="preserve"> MARCAPAN-KRESNIK</t>
  </si>
  <si>
    <t xml:space="preserve"> MARKUŠIĆ</t>
  </si>
  <si>
    <t>LEONARDA</t>
  </si>
  <si>
    <t xml:space="preserve"> LEŠ</t>
  </si>
  <si>
    <t>SIMON</t>
  </si>
  <si>
    <t xml:space="preserve"> KLASIĆ</t>
  </si>
  <si>
    <t>MAŠA</t>
  </si>
  <si>
    <t xml:space="preserve"> JANDRIĆ</t>
  </si>
  <si>
    <t>ALINA</t>
  </si>
  <si>
    <t xml:space="preserve"> HOTKO</t>
  </si>
  <si>
    <t>LEON</t>
  </si>
  <si>
    <t>ANTONIJA</t>
  </si>
  <si>
    <t>BUČKAL</t>
  </si>
  <si>
    <t>LORENA</t>
  </si>
  <si>
    <t>DOMANČIĆ</t>
  </si>
  <si>
    <t>LEA</t>
  </si>
  <si>
    <t>DVOJKOVIĆ</t>
  </si>
  <si>
    <t>TONKA</t>
  </si>
  <si>
    <t>FERDEBAR</t>
  </si>
  <si>
    <t>ANDELON</t>
  </si>
  <si>
    <t>FILOTAŠ</t>
  </si>
  <si>
    <t>FRANIĆ</t>
  </si>
  <si>
    <t>FRAN</t>
  </si>
  <si>
    <t>GLAS</t>
  </si>
  <si>
    <t>GITA</t>
  </si>
  <si>
    <t>HAINSKI</t>
  </si>
  <si>
    <t>MIA</t>
  </si>
  <si>
    <t>HRANILOVIĆ</t>
  </si>
  <si>
    <t>GABRIELA</t>
  </si>
  <si>
    <t>JAGAR</t>
  </si>
  <si>
    <t>ISKRA</t>
  </si>
  <si>
    <t>JAKOB</t>
  </si>
  <si>
    <t>LOVRO</t>
  </si>
  <si>
    <t>KAIĆ</t>
  </si>
  <si>
    <t>OMAR</t>
  </si>
  <si>
    <t>KARALIĆ</t>
  </si>
  <si>
    <t>MATE</t>
  </si>
  <si>
    <t>DAVID</t>
  </si>
  <si>
    <t>MATOŠEVIĆ</t>
  </si>
  <si>
    <t>LUNA</t>
  </si>
  <si>
    <t>MAVRA</t>
  </si>
  <si>
    <t>MAGDALENA</t>
  </si>
  <si>
    <t>MIHALJEVIĆ</t>
  </si>
  <si>
    <t>MARTA</t>
  </si>
  <si>
    <t>PERESTEGI</t>
  </si>
  <si>
    <t>IVY</t>
  </si>
  <si>
    <t>PRELOG</t>
  </si>
  <si>
    <t>MARIN</t>
  </si>
  <si>
    <t>ŠTEKO</t>
  </si>
  <si>
    <t>ŠUK</t>
  </si>
  <si>
    <t>FRANCISKA</t>
  </si>
  <si>
    <t>ZVONKOVIĆ</t>
  </si>
  <si>
    <t>SHEK BRNARDIĆ</t>
  </si>
  <si>
    <t>BERC</t>
  </si>
  <si>
    <t>AZER</t>
  </si>
  <si>
    <t>BEŠIĆ</t>
  </si>
  <si>
    <t>DORA</t>
  </si>
  <si>
    <t>BUKAL</t>
  </si>
  <si>
    <t>CIKAČ</t>
  </si>
  <si>
    <t>LANA</t>
  </si>
  <si>
    <t>DOBRILOVIĆ</t>
  </si>
  <si>
    <t>ANJA</t>
  </si>
  <si>
    <t>DŽAKULA</t>
  </si>
  <si>
    <t>STJEPAN</t>
  </si>
  <si>
    <t>ADRIAN</t>
  </si>
  <si>
    <t>HRUBI</t>
  </si>
  <si>
    <t>VITA</t>
  </si>
  <si>
    <t>JERGOVIĆ</t>
  </si>
  <si>
    <t>KORINA</t>
  </si>
  <si>
    <t>BARBARA</t>
  </si>
  <si>
    <t>MIKOVIĆ</t>
  </si>
  <si>
    <t>ŠEGO</t>
  </si>
  <si>
    <t>LAURA</t>
  </si>
  <si>
    <t>ŠUG</t>
  </si>
  <si>
    <t>ROBERTINO</t>
  </si>
  <si>
    <t>VEREŠ</t>
  </si>
  <si>
    <t>KIRA DIADRA</t>
  </si>
  <si>
    <t>VOJNOVIĆ</t>
  </si>
  <si>
    <t>JURAJ</t>
  </si>
  <si>
    <t>VUGRIN</t>
  </si>
  <si>
    <t>VITO</t>
  </si>
  <si>
    <t>ZAVRTNIK</t>
  </si>
  <si>
    <t>Login</t>
  </si>
  <si>
    <t>abesic</t>
  </si>
  <si>
    <t>dbukal</t>
  </si>
  <si>
    <t>gcikac</t>
  </si>
  <si>
    <t>ldobrijevic</t>
  </si>
  <si>
    <t>adzakula</t>
  </si>
  <si>
    <t>sfilotas</t>
  </si>
  <si>
    <t>ahrubi</t>
  </si>
  <si>
    <t>vjergovic</t>
  </si>
  <si>
    <t>kmatosevic</t>
  </si>
  <si>
    <t>bmikovic</t>
  </si>
  <si>
    <t>fperestegi</t>
  </si>
  <si>
    <t>lshek</t>
  </si>
  <si>
    <t>msego</t>
  </si>
  <si>
    <t>lsug</t>
  </si>
  <si>
    <t>rveres</t>
  </si>
  <si>
    <t>kvojnovic</t>
  </si>
  <si>
    <t>jvugrin</t>
  </si>
  <si>
    <t>vzavrtnik</t>
  </si>
  <si>
    <t>OST-1516-1A</t>
  </si>
  <si>
    <t>OST-1516-1B</t>
  </si>
  <si>
    <t>aberc</t>
  </si>
  <si>
    <t>abiloglav</t>
  </si>
  <si>
    <t>lmajer</t>
  </si>
  <si>
    <t>vmartinis</t>
  </si>
  <si>
    <t>nmate</t>
  </si>
  <si>
    <t>mmelher</t>
  </si>
  <si>
    <t>josmak</t>
  </si>
  <si>
    <t>fsekelj</t>
  </si>
  <si>
    <t>ldurik</t>
  </si>
  <si>
    <t>eglavinic</t>
  </si>
  <si>
    <t>bhadzic</t>
  </si>
  <si>
    <t>aknezevic</t>
  </si>
  <si>
    <t>komrcanin</t>
  </si>
  <si>
    <t>drizvanovicalvedin</t>
  </si>
  <si>
    <t>elasoric</t>
  </si>
  <si>
    <t>evasoric</t>
  </si>
  <si>
    <t>ivujnovic</t>
  </si>
  <si>
    <t>OST-1516-2</t>
  </si>
  <si>
    <t>jbradvica</t>
  </si>
  <si>
    <t>tbrtan</t>
  </si>
  <si>
    <t>tbukovac</t>
  </si>
  <si>
    <t>lhotko</t>
  </si>
  <si>
    <t>ktresk</t>
  </si>
  <si>
    <t>mvaler</t>
  </si>
  <si>
    <t>ecajsa</t>
  </si>
  <si>
    <t>sculina</t>
  </si>
  <si>
    <t>bcurcic</t>
  </si>
  <si>
    <t>vcurcic</t>
  </si>
  <si>
    <t>idekovic</t>
  </si>
  <si>
    <t>adiklic</t>
  </si>
  <si>
    <t>ffilipovic</t>
  </si>
  <si>
    <t>ajandric</t>
  </si>
  <si>
    <t>mklasic</t>
  </si>
  <si>
    <t>sles</t>
  </si>
  <si>
    <t>lmarkusic</t>
  </si>
  <si>
    <t>lprugovecki</t>
  </si>
  <si>
    <t>mrrendulic</t>
  </si>
  <si>
    <t>jsimic</t>
  </si>
  <si>
    <t>lvujnovic</t>
  </si>
  <si>
    <t>nmarcapankresnik</t>
  </si>
  <si>
    <t>rduic</t>
  </si>
  <si>
    <t>OST-1516-3</t>
  </si>
  <si>
    <t>abuckal</t>
  </si>
  <si>
    <t>ldomancic</t>
  </si>
  <si>
    <t>ldvojkovic</t>
  </si>
  <si>
    <t>tferdebar</t>
  </si>
  <si>
    <t>afilotas</t>
  </si>
  <si>
    <t>lfranic</t>
  </si>
  <si>
    <t>fglas</t>
  </si>
  <si>
    <t>ghainski</t>
  </si>
  <si>
    <t>mhranlovic</t>
  </si>
  <si>
    <t>gjagar</t>
  </si>
  <si>
    <t>ijakob</t>
  </si>
  <si>
    <t>lkaic</t>
  </si>
  <si>
    <t>okaralic</t>
  </si>
  <si>
    <t>lmate</t>
  </si>
  <si>
    <t>dmatosevic</t>
  </si>
  <si>
    <t>lmavra</t>
  </si>
  <si>
    <t>mmihaljevic</t>
  </si>
  <si>
    <t>mperestegi</t>
  </si>
  <si>
    <t>iprelog</t>
  </si>
  <si>
    <t>lshekbrnardic</t>
  </si>
  <si>
    <t>msteko</t>
  </si>
  <si>
    <t>lsuk</t>
  </si>
  <si>
    <t>fzvonkovic</t>
  </si>
  <si>
    <t>mzvonkovic</t>
  </si>
  <si>
    <t>AZER BEŠIĆ</t>
  </si>
  <si>
    <t>DORA BUKAL</t>
  </si>
  <si>
    <t>GABRIELA CIKAČ</t>
  </si>
  <si>
    <t>LANA DOBRILOVIĆ</t>
  </si>
  <si>
    <t>ANJA DŽAKULA</t>
  </si>
  <si>
    <t>STJEPAN FILOTAŠ</t>
  </si>
  <si>
    <t>ADRIAN HRUBI</t>
  </si>
  <si>
    <t>VITA JERGOVIĆ</t>
  </si>
  <si>
    <t>KORINA MATOŠEVIĆ</t>
  </si>
  <si>
    <t>BARBARA MIKOVIĆ</t>
  </si>
  <si>
    <t>FILIP PERESTEGI</t>
  </si>
  <si>
    <t>LARA SHEK BRNARDIĆ</t>
  </si>
  <si>
    <t>MARIN ŠEGO</t>
  </si>
  <si>
    <t>LAURA ŠUG</t>
  </si>
  <si>
    <t>ROBERTINO VEREŠ</t>
  </si>
  <si>
    <t>KIRA DIADRA VOJNOVIĆ</t>
  </si>
  <si>
    <t>JURAJ VUGRIN</t>
  </si>
  <si>
    <t>VITO ZAVRTNIK</t>
  </si>
  <si>
    <t>ADRIJANA BERC</t>
  </si>
  <si>
    <t xml:space="preserve">ANDRIJA BILOGLAV </t>
  </si>
  <si>
    <t xml:space="preserve">LUKA ĐURIK </t>
  </si>
  <si>
    <t xml:space="preserve">EVA GLAVINIĆ </t>
  </si>
  <si>
    <t xml:space="preserve">BENJAMIN HADŽIĆ </t>
  </si>
  <si>
    <t xml:space="preserve"> ANAMARIJA KNEŽEVIĆ</t>
  </si>
  <si>
    <t xml:space="preserve">LARA MAJER </t>
  </si>
  <si>
    <t xml:space="preserve">VILIM MARTINIS </t>
  </si>
  <si>
    <t xml:space="preserve">NINA MATE </t>
  </si>
  <si>
    <t xml:space="preserve">MATEA MELHER </t>
  </si>
  <si>
    <t xml:space="preserve">KATARINA OMRČANIN </t>
  </si>
  <si>
    <t xml:space="preserve">JANA OSMAK </t>
  </si>
  <si>
    <t xml:space="preserve">DINO RIZVANOVIĆ ALVEDIN  </t>
  </si>
  <si>
    <t xml:space="preserve">FILIP SEKELJ </t>
  </si>
  <si>
    <t xml:space="preserve">ELA SORIĆ </t>
  </si>
  <si>
    <t xml:space="preserve">EVA SORIĆ </t>
  </si>
  <si>
    <t xml:space="preserve">IVAN VUJNOVIĆ </t>
  </si>
  <si>
    <t>JANA  BRADVICA</t>
  </si>
  <si>
    <t>TIA  BRTAN</t>
  </si>
  <si>
    <t>TENA  BUKOVAC</t>
  </si>
  <si>
    <t>EMANUEL  ČAJSA</t>
  </si>
  <si>
    <t>STIPE  ČULINA</t>
  </si>
  <si>
    <t>BRUNO  ĆURČIĆ</t>
  </si>
  <si>
    <t>VITO   ĆURČIĆ</t>
  </si>
  <si>
    <t>IVAN  DEKOVIĆ</t>
  </si>
  <si>
    <t>ALAN  DIKLIĆ</t>
  </si>
  <si>
    <t>ROKO  DUIĆ</t>
  </si>
  <si>
    <t>FRAN  FILIPOVIĆ</t>
  </si>
  <si>
    <t>LEON  HOTKO</t>
  </si>
  <si>
    <t>ALINA  JANDRIĆ</t>
  </si>
  <si>
    <t>MAŠA  KLASIĆ</t>
  </si>
  <si>
    <t>SIMON  LEŠ</t>
  </si>
  <si>
    <t>NATALY  MARCAPAN-KRESNIK</t>
  </si>
  <si>
    <t>LEONARDA  MARKUŠIĆ</t>
  </si>
  <si>
    <t>LUKA  PRUGOVEČKI</t>
  </si>
  <si>
    <t>MARKS RUDOLF  RENDULIĆ</t>
  </si>
  <si>
    <t>JAKOV  ŠIMIĆ</t>
  </si>
  <si>
    <t>KRUNO  TRESK</t>
  </si>
  <si>
    <t>MATEJ  VALER</t>
  </si>
  <si>
    <t>LEON  VUJNOVIĆ</t>
  </si>
  <si>
    <t>ANTONIJA BUČKAL</t>
  </si>
  <si>
    <t>LORENA DOMANČIĆ</t>
  </si>
  <si>
    <t>LEA DVOJKOVIĆ</t>
  </si>
  <si>
    <t>TONKA FERDEBAR</t>
  </si>
  <si>
    <t>ANDELON FILOTAŠ</t>
  </si>
  <si>
    <t>LUKA FRANIĆ</t>
  </si>
  <si>
    <t>FRAN GLAS</t>
  </si>
  <si>
    <t>GITA HAINSKI</t>
  </si>
  <si>
    <t>MIA HRANILOVIĆ</t>
  </si>
  <si>
    <t>GABRIELA JAGAR</t>
  </si>
  <si>
    <t>ISKRA JAKOB</t>
  </si>
  <si>
    <t>LOVRO KAIĆ</t>
  </si>
  <si>
    <t>OMAR KARALIĆ</t>
  </si>
  <si>
    <t>LEON MATE</t>
  </si>
  <si>
    <t>DAVID MATOŠEVIĆ</t>
  </si>
  <si>
    <t>LUNA MAVRA</t>
  </si>
  <si>
    <t>MAGDALENA MIHALJEVIĆ</t>
  </si>
  <si>
    <t>MARTA PERESTEGI</t>
  </si>
  <si>
    <t>IVY PRELOG</t>
  </si>
  <si>
    <t>LEA SHEK BRNARDIĆ</t>
  </si>
  <si>
    <t>MARIN ŠTEKO</t>
  </si>
  <si>
    <t>LOVRO ŠUK</t>
  </si>
  <si>
    <t>FRANCISKA ZVONKOVIĆ</t>
  </si>
  <si>
    <t>MATEA ZVONKOVIĆ</t>
  </si>
  <si>
    <t>1A</t>
  </si>
  <si>
    <t>1B</t>
  </si>
  <si>
    <t>Grupa-Mia-Exp1 abuckal</t>
  </si>
  <si>
    <t>Grupa-Mia-Exp1 ldomancic</t>
  </si>
  <si>
    <t>Grupa-Mia-Exp1 ldvojkovic</t>
  </si>
  <si>
    <t>Grupa-Mia-Exp1 tferdebar</t>
  </si>
  <si>
    <t>Grupa-Mia-Exp1 afilotas</t>
  </si>
  <si>
    <t>Grupa-Mia-Exp1 lfranic</t>
  </si>
  <si>
    <t>Grupa-Mia-Exp1 fglas</t>
  </si>
  <si>
    <t>Grupa-Mia-Exp1 ghainski</t>
  </si>
  <si>
    <t>Grupa-Mia-Exp1 mhranlovic</t>
  </si>
  <si>
    <t>Grupa-Mia-Exp1 gjagar</t>
  </si>
  <si>
    <t>Grupa-Mia-Exp1 ijakob</t>
  </si>
  <si>
    <t>Grupa-Mia-Exp1 lkaic</t>
  </si>
  <si>
    <t>Grupa-Mia-Exp1 okaralic</t>
  </si>
  <si>
    <t>Grupa-Mia-Exp1 lmate</t>
  </si>
  <si>
    <t>Grupa-Mia-Exp1 dmatosevic</t>
  </si>
  <si>
    <t>Grupa-Mia-Exp1 lmavra</t>
  </si>
  <si>
    <t>Grupa-Mia-Exp1 mmihaljevic</t>
  </si>
  <si>
    <t>Grupa-Mia-Exp1 mperestegi</t>
  </si>
  <si>
    <t>Grupa-Mia-Exp1 iprelog</t>
  </si>
  <si>
    <t>Grupa-Mia-Exp1 lshekbrnardic</t>
  </si>
  <si>
    <t>Grupa-Mia-Exp1 msteko</t>
  </si>
  <si>
    <t>Grupa-Mia-Exp1 lsuk</t>
  </si>
  <si>
    <t>Grupa-Mia-Exp1 fzvonkovic</t>
  </si>
  <si>
    <t>Grupa-Mia-Exp1 mzvonkovic</t>
  </si>
  <si>
    <t>Grupa-Mia-Exp2-1</t>
  </si>
  <si>
    <t>Grupa-Mia-Exp2-2</t>
  </si>
  <si>
    <t>Grupa-Mia-Exp2-3</t>
  </si>
  <si>
    <t>Grupa-Mia-Exp2-4</t>
  </si>
  <si>
    <t>Grupa-Mia-Exp2-5</t>
  </si>
  <si>
    <t>Grupa-Mia-Exp2-6</t>
  </si>
  <si>
    <t>Grupa-Mia-Exp2-7</t>
  </si>
  <si>
    <t>Grupa-Mia-Exp2-8</t>
  </si>
  <si>
    <t>Grupa-Mia-Exp2-9</t>
  </si>
  <si>
    <t>Grupa-Mia-Exp2-10</t>
  </si>
  <si>
    <t>Grupa-Mia-Exp2-11</t>
  </si>
  <si>
    <t>Grupa-Mia-Exp2-12</t>
  </si>
  <si>
    <t>Eksperiment 2, 3.3.2016. 3 razred Likovni Crtanje promatranjem Mia</t>
  </si>
  <si>
    <t>AR_01</t>
  </si>
  <si>
    <t>AR_02</t>
  </si>
  <si>
    <t>AR_03</t>
  </si>
  <si>
    <t>AR_04</t>
  </si>
  <si>
    <t>AR_05</t>
  </si>
  <si>
    <t>AR_06</t>
  </si>
  <si>
    <t>AR_07</t>
  </si>
  <si>
    <t>AR_08</t>
  </si>
  <si>
    <t>AR_09</t>
  </si>
  <si>
    <t>AR_10</t>
  </si>
  <si>
    <t>AR_11</t>
  </si>
  <si>
    <t>AR_12</t>
  </si>
  <si>
    <t>AR_13</t>
  </si>
  <si>
    <t>AR_14</t>
  </si>
  <si>
    <t>AR_15</t>
  </si>
  <si>
    <t>AR_16</t>
  </si>
  <si>
    <t>AR_17</t>
  </si>
  <si>
    <t>AR_18</t>
  </si>
  <si>
    <t>AR_19</t>
  </si>
  <si>
    <t>AR_20</t>
  </si>
  <si>
    <t>Za naljepiti na tablete exclus. 2./3. r.</t>
  </si>
  <si>
    <t>Za naljepiti na tablete 1A razreda</t>
  </si>
  <si>
    <t>AR_21</t>
  </si>
  <si>
    <t>AR_22</t>
  </si>
  <si>
    <t>AR_23</t>
  </si>
  <si>
    <t>AR_24</t>
  </si>
  <si>
    <t>AR_25</t>
  </si>
  <si>
    <t>AR_26</t>
  </si>
  <si>
    <t>AR_27</t>
  </si>
  <si>
    <t>AR_28</t>
  </si>
  <si>
    <t>Grupa-Mia-Exp2 aberc</t>
  </si>
  <si>
    <t>Grupa-Mia-Exp2 abiloglav</t>
  </si>
  <si>
    <t>Grupa-Mia-Exp2 ldurik</t>
  </si>
  <si>
    <t>Grupa-Mia-Exp2 eglavinic</t>
  </si>
  <si>
    <t>Grupa-Mia-Exp2 bhadzic</t>
  </si>
  <si>
    <t>Grupa-Mia-Exp2 aknezevic</t>
  </si>
  <si>
    <t>Grupa-Mia-Exp2 lmajer</t>
  </si>
  <si>
    <t>Grupa-Mia-Exp2 vmartinis</t>
  </si>
  <si>
    <t>Grupa-Mia-Exp2 nmate</t>
  </si>
  <si>
    <t>Grupa-Mia-Exp2 mmelher</t>
  </si>
  <si>
    <t>Grupa-Mia-Exp2 komrcanin</t>
  </si>
  <si>
    <t>Grupa-Mia-Exp2 josmak</t>
  </si>
  <si>
    <t>Grupa-Mia-Exp2 drizvanovicalvedin</t>
  </si>
  <si>
    <t>Grupa-Mia-Exp2 fsekelj</t>
  </si>
  <si>
    <t>Grupa-Mia-Exp2 elasoric</t>
  </si>
  <si>
    <t>Grupa-Mia-Exp2 evasoric</t>
  </si>
  <si>
    <t>Grupa-Mia-Exp2 ivujnovic</t>
  </si>
  <si>
    <t>ParentGroupID</t>
  </si>
  <si>
    <t>ID</t>
  </si>
  <si>
    <t>GroupName</t>
  </si>
  <si>
    <t>GroupDrawingTask</t>
  </si>
  <si>
    <t>UserGroup tablica</t>
  </si>
  <si>
    <t>Tablica Group</t>
  </si>
  <si>
    <t>Grupa-Mia-Exp1 abesic</t>
  </si>
  <si>
    <t>Grupa-Mia-Exp1 dbukal</t>
  </si>
  <si>
    <t>Grupa-Mia-Exp1 gcikac</t>
  </si>
  <si>
    <t>Grupa-Mia-Exp1 ldobrijevic</t>
  </si>
  <si>
    <t>Grupa-Mia-Exp1 adzakula</t>
  </si>
  <si>
    <t>Grupa-Mia-Exp1 sfilotas</t>
  </si>
  <si>
    <t>Grupa-Mia-Exp1 ahrubi</t>
  </si>
  <si>
    <t>Grupa-Mia-Exp1 vjergovic</t>
  </si>
  <si>
    <t>Grupa-Mia-Exp1 kmatosevic</t>
  </si>
  <si>
    <t>Grupa-Mia-Exp1 bmikovic</t>
  </si>
  <si>
    <t>Grupa-Mia-Exp1 fperestegi</t>
  </si>
  <si>
    <t>Grupa-Mia-Exp1 lshek</t>
  </si>
  <si>
    <t>Grupa-Mia-Exp1 msego</t>
  </si>
  <si>
    <t>Grupa-Mia-Exp1 lsug</t>
  </si>
  <si>
    <t>Grupa-Mia-Exp1 rveres</t>
  </si>
  <si>
    <t>Grupa-Mia-Exp1 kvojnovic</t>
  </si>
  <si>
    <t>Grupa-Mia-Exp1 jvugrin</t>
  </si>
  <si>
    <t>Grupa-Mia-Exp1 vzavrtnik</t>
  </si>
  <si>
    <t>GroupDrawingTaskGroup</t>
  </si>
  <si>
    <t>IOS_6</t>
  </si>
  <si>
    <t>Napomene učiteljice</t>
  </si>
  <si>
    <t>-</t>
  </si>
  <si>
    <t>Prosječna</t>
  </si>
  <si>
    <t>Iznadprosječna</t>
  </si>
  <si>
    <t>ADHD (nediagnosticiran)</t>
  </si>
  <si>
    <t>ADHD</t>
  </si>
  <si>
    <t>Iznadprosječan</t>
  </si>
  <si>
    <t>Downov sindrom</t>
  </si>
  <si>
    <t>Neobična situacija</t>
  </si>
  <si>
    <t>Prosječan</t>
  </si>
  <si>
    <t>ANAMARIJA</t>
  </si>
  <si>
    <t>Iznadprosječan + Asperger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</si>
</sst>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9"/>
      <color rgb="FF000000"/>
      <name val="Tahoma"/>
      <family val="2"/>
      <charset val="238"/>
    </font>
    <font>
      <sz val="11"/>
      <color rgb="FF9C000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D3E4A6"/>
      </right>
      <top/>
      <bottom style="medium">
        <color rgb="FFD3E4A6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ill="1" applyBorder="1" applyAlignment="1" applyProtection="1">
      <alignment wrapText="1"/>
    </xf>
    <xf numFmtId="0" fontId="0" fillId="0" borderId="0" xfId="0" applyBorder="1"/>
    <xf numFmtId="0" fontId="1" fillId="0" borderId="0" xfId="0" applyFont="1" applyBorder="1"/>
    <xf numFmtId="0" fontId="0" fillId="0" borderId="0" xfId="0" applyFont="1" applyBorder="1"/>
    <xf numFmtId="0" fontId="0" fillId="0" borderId="1" xfId="0" applyFont="1" applyBorder="1" applyAlignment="1">
      <alignment horizontal="left" vertical="center" indent="2"/>
    </xf>
    <xf numFmtId="0" fontId="0" fillId="0" borderId="1" xfId="0" applyBorder="1" applyAlignment="1">
      <alignment vertical="center"/>
    </xf>
    <xf numFmtId="0" fontId="2" fillId="0" borderId="2" xfId="0" applyFont="1" applyBorder="1"/>
    <xf numFmtId="0" fontId="2" fillId="0" borderId="3" xfId="0" quotePrefix="1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2" fillId="0" borderId="0" xfId="0" applyFont="1" applyBorder="1"/>
    <xf numFmtId="0" fontId="3" fillId="2" borderId="8" xfId="0" applyFont="1" applyFill="1" applyBorder="1" applyAlignment="1">
      <alignment vertical="center" wrapText="1"/>
    </xf>
    <xf numFmtId="0" fontId="0" fillId="0" borderId="9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4" xfId="0" applyFont="1" applyBorder="1" applyAlignment="1">
      <alignment horizontal="center"/>
    </xf>
    <xf numFmtId="0" fontId="0" fillId="0" borderId="1" xfId="0" applyFill="1" applyBorder="1" applyAlignment="1">
      <alignment vertical="center"/>
    </xf>
    <xf numFmtId="0" fontId="2" fillId="0" borderId="0" xfId="0" applyFont="1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 applyProtection="1">
      <alignment wrapText="1"/>
    </xf>
    <xf numFmtId="0" fontId="0" fillId="4" borderId="1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 applyProtection="1">
      <alignment wrapText="1"/>
    </xf>
    <xf numFmtId="0" fontId="0" fillId="5" borderId="1" xfId="0" applyFill="1" applyBorder="1"/>
    <xf numFmtId="0" fontId="4" fillId="3" borderId="0" xfId="1"/>
    <xf numFmtId="0" fontId="0" fillId="5" borderId="1" xfId="0" applyFont="1" applyFill="1" applyBorder="1" applyAlignment="1">
      <alignment horizontal="left" vertical="center" indent="2"/>
    </xf>
    <xf numFmtId="0" fontId="0" fillId="4" borderId="1" xfId="0" applyFont="1" applyFill="1" applyBorder="1" applyAlignment="1">
      <alignment horizontal="left" vertical="center" indent="2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D1" workbookViewId="0">
      <selection activeCell="I19" sqref="I19"/>
    </sheetView>
  </sheetViews>
  <sheetFormatPr defaultRowHeight="15" x14ac:dyDescent="0.25"/>
  <cols>
    <col min="1" max="1" width="5.140625" customWidth="1"/>
    <col min="2" max="2" width="15.42578125" customWidth="1"/>
    <col min="3" max="3" width="16.85546875" customWidth="1"/>
    <col min="4" max="4" width="16" customWidth="1"/>
    <col min="5" max="5" width="21.140625" customWidth="1"/>
    <col min="6" max="6" width="20.85546875" bestFit="1" customWidth="1"/>
    <col min="7" max="8" width="18.42578125" customWidth="1"/>
    <col min="9" max="9" width="23.140625" bestFit="1" customWidth="1"/>
    <col min="10" max="10" width="18.42578125" customWidth="1"/>
    <col min="11" max="11" width="18" bestFit="1" customWidth="1"/>
    <col min="12" max="12" width="9.85546875" bestFit="1" customWidth="1"/>
  </cols>
  <sheetData>
    <row r="1" spans="1:17" s="1" customFormat="1" x14ac:dyDescent="0.25">
      <c r="A1" s="2" t="s">
        <v>2</v>
      </c>
      <c r="B1" s="2" t="s">
        <v>0</v>
      </c>
      <c r="C1" s="2" t="s">
        <v>1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52</v>
      </c>
      <c r="I1" s="2" t="s">
        <v>546</v>
      </c>
      <c r="J1" s="2" t="s">
        <v>265</v>
      </c>
      <c r="K1" s="2" t="s">
        <v>15</v>
      </c>
      <c r="L1" s="2" t="s">
        <v>16</v>
      </c>
    </row>
    <row r="2" spans="1:17" x14ac:dyDescent="0.25">
      <c r="A2" s="3">
        <v>1</v>
      </c>
      <c r="B2" s="9" t="s">
        <v>237</v>
      </c>
      <c r="C2" s="9" t="s">
        <v>238</v>
      </c>
      <c r="D2" s="4" t="s">
        <v>18</v>
      </c>
      <c r="E2" s="3" t="s">
        <v>6</v>
      </c>
      <c r="F2" s="3" t="s">
        <v>9</v>
      </c>
      <c r="G2" s="3" t="s">
        <v>13</v>
      </c>
      <c r="H2" s="3" t="s">
        <v>53</v>
      </c>
      <c r="I2" s="3" t="s">
        <v>547</v>
      </c>
      <c r="J2" s="9" t="s">
        <v>266</v>
      </c>
      <c r="K2" s="3" t="s">
        <v>55</v>
      </c>
      <c r="L2" s="3" t="s">
        <v>79</v>
      </c>
      <c r="M2" s="29"/>
      <c r="N2" t="s">
        <v>6</v>
      </c>
      <c r="O2" t="s">
        <v>9</v>
      </c>
      <c r="P2" t="s">
        <v>12</v>
      </c>
      <c r="Q2" t="s">
        <v>53</v>
      </c>
    </row>
    <row r="3" spans="1:17" x14ac:dyDescent="0.25">
      <c r="A3" s="3">
        <v>2</v>
      </c>
      <c r="B3" s="9" t="s">
        <v>239</v>
      </c>
      <c r="C3" s="9" t="s">
        <v>240</v>
      </c>
      <c r="D3" s="4" t="s">
        <v>19</v>
      </c>
      <c r="E3" s="3" t="s">
        <v>7</v>
      </c>
      <c r="F3" s="3" t="s">
        <v>11</v>
      </c>
      <c r="G3" s="3" t="s">
        <v>14</v>
      </c>
      <c r="H3" s="3" t="s">
        <v>54</v>
      </c>
      <c r="I3" s="3" t="s">
        <v>548</v>
      </c>
      <c r="J3" s="9" t="s">
        <v>267</v>
      </c>
      <c r="K3" s="3" t="s">
        <v>56</v>
      </c>
      <c r="L3" s="3" t="s">
        <v>79</v>
      </c>
      <c r="N3" t="s">
        <v>7</v>
      </c>
      <c r="O3" t="s">
        <v>10</v>
      </c>
      <c r="P3" t="s">
        <v>13</v>
      </c>
      <c r="Q3" t="s">
        <v>7</v>
      </c>
    </row>
    <row r="4" spans="1:17" x14ac:dyDescent="0.25">
      <c r="A4" s="3">
        <v>3</v>
      </c>
      <c r="B4" s="9" t="s">
        <v>211</v>
      </c>
      <c r="C4" s="9" t="s">
        <v>241</v>
      </c>
      <c r="D4" s="4" t="s">
        <v>20</v>
      </c>
      <c r="E4" s="3" t="s">
        <v>7</v>
      </c>
      <c r="F4" s="3" t="s">
        <v>9</v>
      </c>
      <c r="G4" s="3" t="s">
        <v>13</v>
      </c>
      <c r="H4" s="3" t="s">
        <v>53</v>
      </c>
      <c r="I4" s="3" t="s">
        <v>547</v>
      </c>
      <c r="J4" s="9" t="s">
        <v>268</v>
      </c>
      <c r="K4" s="3" t="s">
        <v>57</v>
      </c>
      <c r="L4" s="3" t="s">
        <v>79</v>
      </c>
      <c r="N4" t="s">
        <v>8</v>
      </c>
      <c r="O4" t="s">
        <v>11</v>
      </c>
      <c r="P4" t="s">
        <v>14</v>
      </c>
      <c r="Q4" t="s">
        <v>54</v>
      </c>
    </row>
    <row r="5" spans="1:17" x14ac:dyDescent="0.25">
      <c r="A5" s="3">
        <v>4</v>
      </c>
      <c r="B5" s="9" t="s">
        <v>242</v>
      </c>
      <c r="C5" s="9" t="s">
        <v>243</v>
      </c>
      <c r="D5" s="4" t="s">
        <v>21</v>
      </c>
      <c r="E5" s="3" t="s">
        <v>7</v>
      </c>
      <c r="F5" s="3" t="s">
        <v>10</v>
      </c>
      <c r="G5" s="3" t="s">
        <v>14</v>
      </c>
      <c r="H5" s="3" t="s">
        <v>54</v>
      </c>
      <c r="I5" s="3" t="s">
        <v>548</v>
      </c>
      <c r="J5" s="9" t="s">
        <v>269</v>
      </c>
      <c r="K5" s="3" t="s">
        <v>58</v>
      </c>
      <c r="L5" s="3" t="s">
        <v>79</v>
      </c>
    </row>
    <row r="6" spans="1:17" x14ac:dyDescent="0.25">
      <c r="A6" s="3">
        <v>5</v>
      </c>
      <c r="B6" s="9" t="s">
        <v>244</v>
      </c>
      <c r="C6" s="9" t="s">
        <v>245</v>
      </c>
      <c r="D6" s="4" t="s">
        <v>22</v>
      </c>
      <c r="E6" s="3" t="s">
        <v>8</v>
      </c>
      <c r="F6" s="3" t="s">
        <v>11</v>
      </c>
      <c r="G6" s="3" t="s">
        <v>14</v>
      </c>
      <c r="H6" s="3" t="s">
        <v>54</v>
      </c>
      <c r="I6" s="3" t="s">
        <v>549</v>
      </c>
      <c r="J6" s="9" t="s">
        <v>270</v>
      </c>
      <c r="K6" s="3" t="s">
        <v>59</v>
      </c>
      <c r="L6" s="3" t="s">
        <v>79</v>
      </c>
    </row>
    <row r="7" spans="1:17" x14ac:dyDescent="0.25">
      <c r="A7" s="3">
        <v>6</v>
      </c>
      <c r="B7" s="9" t="s">
        <v>246</v>
      </c>
      <c r="C7" s="9" t="s">
        <v>203</v>
      </c>
      <c r="D7" s="4" t="s">
        <v>23</v>
      </c>
      <c r="E7" s="3" t="s">
        <v>6</v>
      </c>
      <c r="F7" s="3" t="s">
        <v>9</v>
      </c>
      <c r="G7" s="3" t="s">
        <v>12</v>
      </c>
      <c r="H7" s="3" t="s">
        <v>53</v>
      </c>
      <c r="I7" s="3" t="s">
        <v>547</v>
      </c>
      <c r="J7" s="9" t="s">
        <v>271</v>
      </c>
      <c r="K7" s="3" t="s">
        <v>60</v>
      </c>
      <c r="L7" s="3" t="s">
        <v>79</v>
      </c>
    </row>
    <row r="8" spans="1:17" x14ac:dyDescent="0.25">
      <c r="A8" s="3">
        <v>7</v>
      </c>
      <c r="B8" s="9" t="s">
        <v>247</v>
      </c>
      <c r="C8" s="9" t="s">
        <v>248</v>
      </c>
      <c r="D8" s="4" t="s">
        <v>24</v>
      </c>
      <c r="E8" s="3" t="s">
        <v>7</v>
      </c>
      <c r="F8" s="3" t="s">
        <v>10</v>
      </c>
      <c r="G8" s="3" t="s">
        <v>12</v>
      </c>
      <c r="H8" s="3" t="s">
        <v>7</v>
      </c>
      <c r="I8" s="3" t="s">
        <v>550</v>
      </c>
      <c r="J8" s="9" t="s">
        <v>272</v>
      </c>
      <c r="K8" s="3" t="s">
        <v>61</v>
      </c>
      <c r="L8" s="3" t="s">
        <v>79</v>
      </c>
    </row>
    <row r="9" spans="1:17" x14ac:dyDescent="0.25">
      <c r="A9" s="3">
        <v>8</v>
      </c>
      <c r="B9" s="9" t="s">
        <v>249</v>
      </c>
      <c r="C9" s="9" t="s">
        <v>250</v>
      </c>
      <c r="D9" s="4" t="s">
        <v>25</v>
      </c>
      <c r="E9" s="3" t="s">
        <v>7</v>
      </c>
      <c r="F9" s="3" t="s">
        <v>11</v>
      </c>
      <c r="G9" s="3" t="s">
        <v>12</v>
      </c>
      <c r="H9" s="3" t="s">
        <v>54</v>
      </c>
      <c r="I9" s="3" t="s">
        <v>551</v>
      </c>
      <c r="J9" s="9" t="s">
        <v>273</v>
      </c>
      <c r="K9" s="3" t="s">
        <v>62</v>
      </c>
      <c r="L9" s="3" t="s">
        <v>79</v>
      </c>
      <c r="M9" s="29"/>
    </row>
    <row r="10" spans="1:17" x14ac:dyDescent="0.25">
      <c r="A10" s="3">
        <v>9</v>
      </c>
      <c r="B10" s="9" t="s">
        <v>251</v>
      </c>
      <c r="C10" s="9" t="s">
        <v>221</v>
      </c>
      <c r="D10" s="4" t="s">
        <v>26</v>
      </c>
      <c r="E10" s="3" t="s">
        <v>8</v>
      </c>
      <c r="F10" s="3" t="s">
        <v>10</v>
      </c>
      <c r="G10" s="3" t="s">
        <v>13</v>
      </c>
      <c r="H10" s="3" t="s">
        <v>7</v>
      </c>
      <c r="I10" s="3" t="s">
        <v>548</v>
      </c>
      <c r="J10" s="9" t="s">
        <v>274</v>
      </c>
      <c r="K10" s="3" t="s">
        <v>63</v>
      </c>
      <c r="L10" s="3" t="s">
        <v>79</v>
      </c>
    </row>
    <row r="11" spans="1:17" x14ac:dyDescent="0.25">
      <c r="A11" s="3">
        <v>10</v>
      </c>
      <c r="B11" s="9" t="s">
        <v>252</v>
      </c>
      <c r="C11" s="9" t="s">
        <v>253</v>
      </c>
      <c r="D11" s="4" t="s">
        <v>27</v>
      </c>
      <c r="E11" s="3" t="s">
        <v>7</v>
      </c>
      <c r="F11" s="3" t="s">
        <v>10</v>
      </c>
      <c r="G11" s="3" t="s">
        <v>12</v>
      </c>
      <c r="H11" s="3" t="s">
        <v>7</v>
      </c>
      <c r="I11" s="3" t="s">
        <v>547</v>
      </c>
      <c r="J11" s="9" t="s">
        <v>275</v>
      </c>
      <c r="K11" s="3" t="s">
        <v>64</v>
      </c>
      <c r="L11" s="3" t="s">
        <v>79</v>
      </c>
    </row>
    <row r="12" spans="1:17" x14ac:dyDescent="0.25">
      <c r="A12" s="3">
        <v>11</v>
      </c>
      <c r="B12" s="9" t="s">
        <v>143</v>
      </c>
      <c r="C12" s="9" t="s">
        <v>227</v>
      </c>
      <c r="D12" s="4" t="s">
        <v>28</v>
      </c>
      <c r="E12" s="3" t="s">
        <v>8</v>
      </c>
      <c r="F12" s="3" t="s">
        <v>11</v>
      </c>
      <c r="G12" s="3" t="s">
        <v>14</v>
      </c>
      <c r="H12" s="3" t="s">
        <v>54</v>
      </c>
      <c r="I12" s="3" t="s">
        <v>552</v>
      </c>
      <c r="J12" s="9" t="s">
        <v>276</v>
      </c>
      <c r="K12" s="3" t="s">
        <v>65</v>
      </c>
      <c r="L12" s="3" t="s">
        <v>79</v>
      </c>
    </row>
    <row r="13" spans="1:17" x14ac:dyDescent="0.25">
      <c r="A13" s="3">
        <v>12</v>
      </c>
      <c r="B13" s="9" t="s">
        <v>129</v>
      </c>
      <c r="C13" s="9" t="s">
        <v>235</v>
      </c>
      <c r="D13" s="4" t="s">
        <v>29</v>
      </c>
      <c r="E13" s="3" t="s">
        <v>6</v>
      </c>
      <c r="F13" s="3" t="s">
        <v>11</v>
      </c>
      <c r="G13" s="3" t="s">
        <v>14</v>
      </c>
      <c r="H13" s="3" t="s">
        <v>54</v>
      </c>
      <c r="I13" s="3" t="s">
        <v>553</v>
      </c>
      <c r="J13" s="9" t="s">
        <v>277</v>
      </c>
      <c r="K13" s="3" t="s">
        <v>66</v>
      </c>
      <c r="L13" s="3" t="s">
        <v>79</v>
      </c>
    </row>
    <row r="14" spans="1:17" x14ac:dyDescent="0.25">
      <c r="A14" s="28">
        <v>13</v>
      </c>
      <c r="B14" s="26" t="s">
        <v>230</v>
      </c>
      <c r="C14" s="26" t="s">
        <v>254</v>
      </c>
      <c r="D14" s="27" t="s">
        <v>30</v>
      </c>
      <c r="E14" s="28" t="s">
        <v>8</v>
      </c>
      <c r="F14" s="28" t="s">
        <v>11</v>
      </c>
      <c r="G14" s="28" t="s">
        <v>14</v>
      </c>
      <c r="H14" s="28" t="s">
        <v>7</v>
      </c>
      <c r="I14" s="28" t="s">
        <v>552</v>
      </c>
      <c r="J14" s="26" t="s">
        <v>278</v>
      </c>
      <c r="K14" s="28" t="s">
        <v>73</v>
      </c>
      <c r="L14" s="28" t="s">
        <v>80</v>
      </c>
    </row>
    <row r="15" spans="1:17" x14ac:dyDescent="0.25">
      <c r="A15" s="28">
        <v>14</v>
      </c>
      <c r="B15" s="26" t="s">
        <v>255</v>
      </c>
      <c r="C15" s="26" t="s">
        <v>256</v>
      </c>
      <c r="D15" s="27" t="s">
        <v>31</v>
      </c>
      <c r="E15" s="28" t="s">
        <v>6</v>
      </c>
      <c r="F15" s="28" t="s">
        <v>11</v>
      </c>
      <c r="G15" s="28" t="s">
        <v>13</v>
      </c>
      <c r="H15" s="28" t="s">
        <v>7</v>
      </c>
      <c r="I15" s="28" t="s">
        <v>554</v>
      </c>
      <c r="J15" s="26" t="s">
        <v>279</v>
      </c>
      <c r="K15" s="28" t="s">
        <v>74</v>
      </c>
      <c r="L15" s="28" t="s">
        <v>80</v>
      </c>
      <c r="M15" s="29"/>
    </row>
    <row r="16" spans="1:17" x14ac:dyDescent="0.25">
      <c r="A16" s="28">
        <v>15</v>
      </c>
      <c r="B16" s="26" t="s">
        <v>257</v>
      </c>
      <c r="C16" s="26" t="s">
        <v>258</v>
      </c>
      <c r="D16" s="27" t="s">
        <v>32</v>
      </c>
      <c r="E16" s="28" t="s">
        <v>6</v>
      </c>
      <c r="F16" s="28" t="s">
        <v>9</v>
      </c>
      <c r="G16" s="28" t="s">
        <v>12</v>
      </c>
      <c r="H16" s="28" t="s">
        <v>53</v>
      </c>
      <c r="I16" s="28" t="s">
        <v>547</v>
      </c>
      <c r="J16" s="26" t="s">
        <v>280</v>
      </c>
      <c r="K16" s="28" t="s">
        <v>75</v>
      </c>
      <c r="L16" s="28" t="s">
        <v>80</v>
      </c>
      <c r="M16" s="29"/>
    </row>
    <row r="17" spans="1:12" x14ac:dyDescent="0.25">
      <c r="A17" s="25">
        <v>16</v>
      </c>
      <c r="B17" s="23" t="s">
        <v>259</v>
      </c>
      <c r="C17" s="23" t="s">
        <v>260</v>
      </c>
      <c r="D17" s="24" t="s">
        <v>33</v>
      </c>
      <c r="E17" s="25" t="s">
        <v>7</v>
      </c>
      <c r="F17" s="25" t="s">
        <v>10</v>
      </c>
      <c r="G17" s="25" t="s">
        <v>12</v>
      </c>
      <c r="H17" s="25" t="s">
        <v>7</v>
      </c>
      <c r="I17" s="25" t="s">
        <v>547</v>
      </c>
      <c r="J17" s="23" t="s">
        <v>281</v>
      </c>
      <c r="K17" s="25" t="s">
        <v>76</v>
      </c>
      <c r="L17" s="25" t="s">
        <v>81</v>
      </c>
    </row>
    <row r="18" spans="1:12" x14ac:dyDescent="0.25">
      <c r="A18" s="25">
        <v>17</v>
      </c>
      <c r="B18" s="23" t="s">
        <v>261</v>
      </c>
      <c r="C18" s="23" t="s">
        <v>262</v>
      </c>
      <c r="D18" s="24" t="s">
        <v>34</v>
      </c>
      <c r="E18" s="25" t="s">
        <v>7</v>
      </c>
      <c r="F18" s="25" t="s">
        <v>11</v>
      </c>
      <c r="G18" s="25" t="s">
        <v>13</v>
      </c>
      <c r="H18" s="25" t="s">
        <v>54</v>
      </c>
      <c r="I18" s="25" t="s">
        <v>555</v>
      </c>
      <c r="J18" s="23" t="s">
        <v>282</v>
      </c>
      <c r="K18" s="25" t="s">
        <v>77</v>
      </c>
      <c r="L18" s="25" t="s">
        <v>81</v>
      </c>
    </row>
    <row r="19" spans="1:12" x14ac:dyDescent="0.25">
      <c r="A19" s="25">
        <v>18</v>
      </c>
      <c r="B19" s="23" t="s">
        <v>263</v>
      </c>
      <c r="C19" s="23" t="s">
        <v>264</v>
      </c>
      <c r="D19" s="24" t="s">
        <v>35</v>
      </c>
      <c r="E19" s="25" t="s">
        <v>7</v>
      </c>
      <c r="F19" s="25" t="s">
        <v>11</v>
      </c>
      <c r="G19" s="25" t="s">
        <v>13</v>
      </c>
      <c r="H19" s="25" t="s">
        <v>7</v>
      </c>
      <c r="I19" s="25" t="s">
        <v>555</v>
      </c>
      <c r="J19" s="23" t="s">
        <v>283</v>
      </c>
      <c r="K19" s="25" t="s">
        <v>78</v>
      </c>
      <c r="L19" s="25" t="s">
        <v>81</v>
      </c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</sheetData>
  <dataValidations count="5">
    <dataValidation type="list" allowBlank="1" showInputMessage="1" showErrorMessage="1" sqref="D20:D1048576">
      <formula1>#REF!</formula1>
    </dataValidation>
    <dataValidation type="list" allowBlank="1" showInputMessage="1" showErrorMessage="1" sqref="F1:F1048576">
      <formula1>$O$2:$O$4</formula1>
    </dataValidation>
    <dataValidation type="list" allowBlank="1" showInputMessage="1" showErrorMessage="1" sqref="G1:G1048576">
      <formula1>$P$2:$P$5</formula1>
    </dataValidation>
    <dataValidation type="list" allowBlank="1" showInputMessage="1" showErrorMessage="1" sqref="E1:E1048576">
      <formula1>$N$2:$N$4</formula1>
    </dataValidation>
    <dataValidation type="list" allowBlank="1" showInputMessage="1" showErrorMessage="1" sqref="H1:H1048576">
      <formula1>$Q$2:$Q$4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5.140625" style="5" customWidth="1"/>
    <col min="2" max="2" width="15.42578125" style="5" customWidth="1"/>
    <col min="3" max="3" width="27.7109375" style="5" customWidth="1"/>
    <col min="4" max="4" width="14.5703125" style="5" customWidth="1"/>
    <col min="5" max="5" width="21.140625" style="5" customWidth="1"/>
    <col min="6" max="6" width="15.42578125" style="5" customWidth="1"/>
    <col min="7" max="7" width="18.42578125" style="5" customWidth="1"/>
    <col min="8" max="8" width="18.42578125" customWidth="1"/>
    <col min="9" max="9" width="24.5703125" bestFit="1" customWidth="1"/>
    <col min="10" max="10" width="17.42578125" style="5" customWidth="1"/>
    <col min="11" max="11" width="10.5703125" style="5" customWidth="1"/>
    <col min="12" max="16384" width="8.85546875" style="5"/>
  </cols>
  <sheetData>
    <row r="1" spans="1:17" s="6" customFormat="1" x14ac:dyDescent="0.25">
      <c r="A1" s="2" t="s">
        <v>2</v>
      </c>
      <c r="B1" s="2" t="s">
        <v>0</v>
      </c>
      <c r="C1" s="2" t="s">
        <v>1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52</v>
      </c>
      <c r="I1" s="2" t="s">
        <v>546</v>
      </c>
      <c r="J1" s="2" t="s">
        <v>265</v>
      </c>
      <c r="K1" s="2" t="s">
        <v>15</v>
      </c>
      <c r="L1" s="2" t="s">
        <v>16</v>
      </c>
    </row>
    <row r="2" spans="1:17" x14ac:dyDescent="0.25">
      <c r="A2" s="3">
        <v>1</v>
      </c>
      <c r="B2" s="4" t="s">
        <v>118</v>
      </c>
      <c r="C2" s="4" t="s">
        <v>236</v>
      </c>
      <c r="D2" s="4" t="s">
        <v>36</v>
      </c>
      <c r="E2" s="3" t="s">
        <v>7</v>
      </c>
      <c r="F2" s="3" t="s">
        <v>10</v>
      </c>
      <c r="G2" s="3" t="s">
        <v>14</v>
      </c>
      <c r="H2" s="3" t="s">
        <v>53</v>
      </c>
      <c r="I2" s="3" t="s">
        <v>547</v>
      </c>
      <c r="J2" s="21" t="s">
        <v>286</v>
      </c>
      <c r="K2" s="3" t="s">
        <v>67</v>
      </c>
      <c r="L2" s="3" t="s">
        <v>79</v>
      </c>
      <c r="N2" t="s">
        <v>6</v>
      </c>
      <c r="O2" t="s">
        <v>9</v>
      </c>
      <c r="P2" t="s">
        <v>12</v>
      </c>
      <c r="Q2" t="s">
        <v>53</v>
      </c>
    </row>
    <row r="3" spans="1:17" x14ac:dyDescent="0.25">
      <c r="A3" s="3">
        <v>2</v>
      </c>
      <c r="B3" s="4" t="s">
        <v>120</v>
      </c>
      <c r="C3" s="4" t="s">
        <v>119</v>
      </c>
      <c r="D3" s="4" t="s">
        <v>37</v>
      </c>
      <c r="E3" s="3" t="s">
        <v>6</v>
      </c>
      <c r="F3" s="3" t="s">
        <v>10</v>
      </c>
      <c r="G3" s="3" t="s">
        <v>13</v>
      </c>
      <c r="H3" s="3" t="s">
        <v>54</v>
      </c>
      <c r="I3" s="3" t="s">
        <v>547</v>
      </c>
      <c r="J3" s="21" t="s">
        <v>287</v>
      </c>
      <c r="K3" s="3" t="s">
        <v>68</v>
      </c>
      <c r="L3" s="3" t="s">
        <v>79</v>
      </c>
      <c r="N3" t="s">
        <v>7</v>
      </c>
      <c r="O3" t="s">
        <v>10</v>
      </c>
      <c r="P3" t="s">
        <v>13</v>
      </c>
      <c r="Q3" t="s">
        <v>7</v>
      </c>
    </row>
    <row r="4" spans="1:17" x14ac:dyDescent="0.25">
      <c r="A4" s="3">
        <v>3</v>
      </c>
      <c r="B4" s="4" t="s">
        <v>122</v>
      </c>
      <c r="C4" s="4" t="s">
        <v>121</v>
      </c>
      <c r="D4" s="4" t="s">
        <v>38</v>
      </c>
      <c r="E4" s="3" t="s">
        <v>8</v>
      </c>
      <c r="F4" s="3" t="s">
        <v>11</v>
      </c>
      <c r="G4" s="3" t="s">
        <v>14</v>
      </c>
      <c r="H4" s="3" t="s">
        <v>54</v>
      </c>
      <c r="I4" s="3" t="s">
        <v>552</v>
      </c>
      <c r="J4" s="21" t="s">
        <v>294</v>
      </c>
      <c r="K4" s="3" t="s">
        <v>69</v>
      </c>
      <c r="L4" s="3" t="s">
        <v>79</v>
      </c>
      <c r="N4" t="s">
        <v>8</v>
      </c>
      <c r="O4" t="s">
        <v>11</v>
      </c>
      <c r="P4" t="s">
        <v>14</v>
      </c>
      <c r="Q4" t="s">
        <v>54</v>
      </c>
    </row>
    <row r="5" spans="1:17" x14ac:dyDescent="0.25">
      <c r="A5" s="3">
        <v>4</v>
      </c>
      <c r="B5" s="4" t="s">
        <v>124</v>
      </c>
      <c r="C5" s="4" t="s">
        <v>123</v>
      </c>
      <c r="D5" s="4" t="s">
        <v>39</v>
      </c>
      <c r="E5" s="3" t="s">
        <v>7</v>
      </c>
      <c r="F5" s="3" t="s">
        <v>11</v>
      </c>
      <c r="G5" s="3" t="s">
        <v>14</v>
      </c>
      <c r="H5" s="3" t="s">
        <v>54</v>
      </c>
      <c r="I5" s="3" t="s">
        <v>547</v>
      </c>
      <c r="J5" s="21" t="s">
        <v>295</v>
      </c>
      <c r="K5" s="3" t="s">
        <v>70</v>
      </c>
      <c r="L5" s="3" t="s">
        <v>79</v>
      </c>
    </row>
    <row r="6" spans="1:17" x14ac:dyDescent="0.25">
      <c r="A6" s="3">
        <v>5</v>
      </c>
      <c r="B6" s="4" t="s">
        <v>126</v>
      </c>
      <c r="C6" s="4" t="s">
        <v>125</v>
      </c>
      <c r="D6" s="4" t="s">
        <v>40</v>
      </c>
      <c r="E6" s="3" t="s">
        <v>7</v>
      </c>
      <c r="F6" s="3" t="s">
        <v>9</v>
      </c>
      <c r="G6" s="3" t="s">
        <v>14</v>
      </c>
      <c r="H6" s="3" t="s">
        <v>54</v>
      </c>
      <c r="I6" s="3" t="s">
        <v>552</v>
      </c>
      <c r="J6" s="21" t="s">
        <v>296</v>
      </c>
      <c r="K6" s="3" t="s">
        <v>71</v>
      </c>
      <c r="L6" s="3" t="s">
        <v>79</v>
      </c>
    </row>
    <row r="7" spans="1:17" x14ac:dyDescent="0.25">
      <c r="A7" s="3">
        <v>6</v>
      </c>
      <c r="B7" s="4" t="s">
        <v>556</v>
      </c>
      <c r="C7" s="4" t="s">
        <v>127</v>
      </c>
      <c r="D7" s="4" t="s">
        <v>41</v>
      </c>
      <c r="E7" s="3" t="s">
        <v>6</v>
      </c>
      <c r="F7" s="3" t="s">
        <v>11</v>
      </c>
      <c r="G7" s="3" t="s">
        <v>14</v>
      </c>
      <c r="H7" s="3" t="s">
        <v>54</v>
      </c>
      <c r="I7" s="3" t="s">
        <v>547</v>
      </c>
      <c r="J7" s="21" t="s">
        <v>297</v>
      </c>
      <c r="K7" s="3" t="s">
        <v>72</v>
      </c>
      <c r="L7" s="3" t="s">
        <v>79</v>
      </c>
    </row>
    <row r="8" spans="1:17" x14ac:dyDescent="0.25">
      <c r="A8" s="3">
        <v>7</v>
      </c>
      <c r="B8" s="4" t="s">
        <v>129</v>
      </c>
      <c r="C8" s="4" t="s">
        <v>128</v>
      </c>
      <c r="D8" s="4" t="s">
        <v>42</v>
      </c>
      <c r="E8" s="3" t="s">
        <v>6</v>
      </c>
      <c r="F8" s="3" t="s">
        <v>11</v>
      </c>
      <c r="G8" s="3" t="s">
        <v>14</v>
      </c>
      <c r="H8" s="3" t="s">
        <v>54</v>
      </c>
      <c r="I8" s="3" t="s">
        <v>549</v>
      </c>
      <c r="J8" s="21" t="s">
        <v>288</v>
      </c>
      <c r="K8" s="3" t="s">
        <v>82</v>
      </c>
      <c r="L8" s="3" t="s">
        <v>79</v>
      </c>
    </row>
    <row r="9" spans="1:17" x14ac:dyDescent="0.25">
      <c r="A9" s="3">
        <v>8</v>
      </c>
      <c r="B9" s="4" t="s">
        <v>131</v>
      </c>
      <c r="C9" s="4" t="s">
        <v>130</v>
      </c>
      <c r="D9" s="4" t="s">
        <v>43</v>
      </c>
      <c r="E9" s="3" t="s">
        <v>7</v>
      </c>
      <c r="F9" s="3" t="s">
        <v>10</v>
      </c>
      <c r="G9" s="3" t="s">
        <v>14</v>
      </c>
      <c r="H9" s="3" t="s">
        <v>54</v>
      </c>
      <c r="I9" s="3" t="s">
        <v>557</v>
      </c>
      <c r="J9" s="21" t="s">
        <v>289</v>
      </c>
      <c r="K9" s="3" t="s">
        <v>83</v>
      </c>
      <c r="L9" s="3" t="s">
        <v>79</v>
      </c>
    </row>
    <row r="10" spans="1:17" x14ac:dyDescent="0.25">
      <c r="A10" s="3">
        <v>9</v>
      </c>
      <c r="B10" s="4" t="s">
        <v>133</v>
      </c>
      <c r="C10" s="4" t="s">
        <v>132</v>
      </c>
      <c r="D10" s="4" t="s">
        <v>44</v>
      </c>
      <c r="E10" s="3" t="s">
        <v>7</v>
      </c>
      <c r="F10" s="3" t="s">
        <v>10</v>
      </c>
      <c r="G10" s="3" t="s">
        <v>14</v>
      </c>
      <c r="H10" s="3" t="s">
        <v>7</v>
      </c>
      <c r="I10" s="3" t="s">
        <v>547</v>
      </c>
      <c r="J10" s="21" t="s">
        <v>290</v>
      </c>
      <c r="K10" s="3" t="s">
        <v>84</v>
      </c>
      <c r="L10" s="3" t="s">
        <v>79</v>
      </c>
    </row>
    <row r="11" spans="1:17" x14ac:dyDescent="0.25">
      <c r="A11" s="3">
        <v>10</v>
      </c>
      <c r="B11" s="4" t="s">
        <v>135</v>
      </c>
      <c r="C11" s="4" t="s">
        <v>134</v>
      </c>
      <c r="D11" s="4" t="s">
        <v>45</v>
      </c>
      <c r="E11" s="3" t="s">
        <v>8</v>
      </c>
      <c r="F11" s="3" t="s">
        <v>11</v>
      </c>
      <c r="G11" s="3" t="s">
        <v>14</v>
      </c>
      <c r="H11" s="3" t="s">
        <v>54</v>
      </c>
      <c r="I11" s="3" t="s">
        <v>547</v>
      </c>
      <c r="J11" s="21" t="s">
        <v>291</v>
      </c>
      <c r="K11" s="3" t="s">
        <v>85</v>
      </c>
      <c r="L11" s="3" t="s">
        <v>79</v>
      </c>
    </row>
    <row r="12" spans="1:17" x14ac:dyDescent="0.25">
      <c r="A12" s="3">
        <v>11</v>
      </c>
      <c r="B12" s="4" t="s">
        <v>137</v>
      </c>
      <c r="C12" s="4" t="s">
        <v>136</v>
      </c>
      <c r="D12" s="4" t="s">
        <v>46</v>
      </c>
      <c r="E12" s="3" t="s">
        <v>8</v>
      </c>
      <c r="F12" s="3" t="s">
        <v>11</v>
      </c>
      <c r="G12" s="3" t="s">
        <v>14</v>
      </c>
      <c r="H12" s="3" t="s">
        <v>54</v>
      </c>
      <c r="I12" s="3" t="s">
        <v>547</v>
      </c>
      <c r="J12" s="21" t="s">
        <v>298</v>
      </c>
      <c r="K12" s="3" t="s">
        <v>86</v>
      </c>
      <c r="L12" s="3" t="s">
        <v>79</v>
      </c>
    </row>
    <row r="13" spans="1:17" x14ac:dyDescent="0.25">
      <c r="A13" s="28">
        <v>12</v>
      </c>
      <c r="B13" s="27" t="s">
        <v>139</v>
      </c>
      <c r="C13" s="27" t="s">
        <v>138</v>
      </c>
      <c r="D13" s="27" t="s">
        <v>47</v>
      </c>
      <c r="E13" s="28" t="s">
        <v>6</v>
      </c>
      <c r="F13" s="28" t="s">
        <v>11</v>
      </c>
      <c r="G13" s="28" t="s">
        <v>13</v>
      </c>
      <c r="H13" s="28" t="s">
        <v>54</v>
      </c>
      <c r="I13" s="28" t="s">
        <v>547</v>
      </c>
      <c r="J13" s="26" t="s">
        <v>292</v>
      </c>
      <c r="K13" s="28" t="s">
        <v>88</v>
      </c>
      <c r="L13" s="28" t="s">
        <v>80</v>
      </c>
    </row>
    <row r="14" spans="1:17" x14ac:dyDescent="0.25">
      <c r="A14" s="28">
        <v>13</v>
      </c>
      <c r="B14" s="27" t="s">
        <v>141</v>
      </c>
      <c r="C14" s="27" t="s">
        <v>140</v>
      </c>
      <c r="D14" s="27" t="s">
        <v>48</v>
      </c>
      <c r="E14" s="28" t="s">
        <v>6</v>
      </c>
      <c r="F14" s="28" t="s">
        <v>9</v>
      </c>
      <c r="G14" s="28" t="s">
        <v>12</v>
      </c>
      <c r="H14" s="28" t="s">
        <v>53</v>
      </c>
      <c r="I14" s="28" t="s">
        <v>551</v>
      </c>
      <c r="J14" s="26" t="s">
        <v>299</v>
      </c>
      <c r="K14" s="28" t="s">
        <v>89</v>
      </c>
      <c r="L14" s="28" t="s">
        <v>80</v>
      </c>
    </row>
    <row r="15" spans="1:17" x14ac:dyDescent="0.25">
      <c r="A15" s="28">
        <v>14</v>
      </c>
      <c r="B15" s="27" t="s">
        <v>143</v>
      </c>
      <c r="C15" s="27" t="s">
        <v>142</v>
      </c>
      <c r="D15" s="27" t="s">
        <v>49</v>
      </c>
      <c r="E15" s="28" t="s">
        <v>6</v>
      </c>
      <c r="F15" s="28" t="s">
        <v>11</v>
      </c>
      <c r="G15" s="28" t="s">
        <v>13</v>
      </c>
      <c r="H15" s="28" t="s">
        <v>54</v>
      </c>
      <c r="I15" s="28" t="s">
        <v>547</v>
      </c>
      <c r="J15" s="26" t="s">
        <v>293</v>
      </c>
      <c r="K15" s="28" t="s">
        <v>90</v>
      </c>
      <c r="L15" s="28" t="s">
        <v>80</v>
      </c>
    </row>
    <row r="16" spans="1:17" x14ac:dyDescent="0.25">
      <c r="A16" s="25">
        <v>15</v>
      </c>
      <c r="B16" s="25" t="s">
        <v>145</v>
      </c>
      <c r="C16" s="25" t="s">
        <v>144</v>
      </c>
      <c r="D16" s="25" t="s">
        <v>50</v>
      </c>
      <c r="E16" s="25" t="s">
        <v>7</v>
      </c>
      <c r="F16" s="25" t="s">
        <v>10</v>
      </c>
      <c r="G16" s="25" t="s">
        <v>13</v>
      </c>
      <c r="H16" s="25" t="s">
        <v>7</v>
      </c>
      <c r="I16" s="25" t="s">
        <v>547</v>
      </c>
      <c r="J16" s="23" t="s">
        <v>300</v>
      </c>
      <c r="K16" s="25" t="s">
        <v>91</v>
      </c>
      <c r="L16" s="25" t="s">
        <v>81</v>
      </c>
    </row>
    <row r="17" spans="1:12" x14ac:dyDescent="0.25">
      <c r="A17" s="25">
        <v>16</v>
      </c>
      <c r="B17" s="25" t="s">
        <v>124</v>
      </c>
      <c r="C17" s="25" t="s">
        <v>144</v>
      </c>
      <c r="D17" s="25" t="s">
        <v>50</v>
      </c>
      <c r="E17" s="25" t="s">
        <v>7</v>
      </c>
      <c r="F17" s="25" t="s">
        <v>10</v>
      </c>
      <c r="G17" s="25" t="s">
        <v>13</v>
      </c>
      <c r="H17" s="25" t="s">
        <v>7</v>
      </c>
      <c r="I17" s="25" t="s">
        <v>547</v>
      </c>
      <c r="J17" s="23" t="s">
        <v>301</v>
      </c>
      <c r="K17" s="25" t="s">
        <v>92</v>
      </c>
      <c r="L17" s="25" t="s">
        <v>81</v>
      </c>
    </row>
    <row r="18" spans="1:12" x14ac:dyDescent="0.25">
      <c r="A18" s="25">
        <v>17</v>
      </c>
      <c r="B18" s="25" t="s">
        <v>147</v>
      </c>
      <c r="C18" s="25" t="s">
        <v>146</v>
      </c>
      <c r="D18" s="25" t="s">
        <v>51</v>
      </c>
      <c r="E18" s="25" t="s">
        <v>6</v>
      </c>
      <c r="F18" s="25" t="s">
        <v>9</v>
      </c>
      <c r="G18" s="25" t="s">
        <v>12</v>
      </c>
      <c r="H18" s="25" t="s">
        <v>53</v>
      </c>
      <c r="I18" s="25" t="s">
        <v>547</v>
      </c>
      <c r="J18" s="23" t="s">
        <v>302</v>
      </c>
      <c r="K18" s="25" t="s">
        <v>545</v>
      </c>
      <c r="L18" s="25" t="s">
        <v>81</v>
      </c>
    </row>
    <row r="19" spans="1:12" x14ac:dyDescent="0.25">
      <c r="H19" s="5"/>
      <c r="I19" s="5"/>
    </row>
    <row r="20" spans="1:12" x14ac:dyDescent="0.25">
      <c r="H20" s="5"/>
      <c r="I20" s="5"/>
    </row>
    <row r="21" spans="1:12" x14ac:dyDescent="0.25">
      <c r="H21" s="5"/>
      <c r="I21" s="5"/>
    </row>
    <row r="22" spans="1:12" x14ac:dyDescent="0.25">
      <c r="H22" s="5"/>
      <c r="I22" s="5"/>
    </row>
    <row r="23" spans="1:12" x14ac:dyDescent="0.25">
      <c r="H23" s="5"/>
      <c r="I23" s="5"/>
    </row>
    <row r="24" spans="1:12" x14ac:dyDescent="0.25">
      <c r="H24" s="5"/>
      <c r="I24" s="5"/>
    </row>
    <row r="25" spans="1:12" x14ac:dyDescent="0.25">
      <c r="H25" s="5"/>
      <c r="I25" s="5"/>
    </row>
    <row r="26" spans="1:12" x14ac:dyDescent="0.25">
      <c r="H26" s="5"/>
      <c r="I26" s="5"/>
    </row>
    <row r="27" spans="1:12" x14ac:dyDescent="0.25">
      <c r="H27" s="5"/>
      <c r="I27" s="5"/>
    </row>
    <row r="28" spans="1:12" x14ac:dyDescent="0.25">
      <c r="H28" s="5"/>
      <c r="I28" s="5"/>
    </row>
    <row r="29" spans="1:12" x14ac:dyDescent="0.25">
      <c r="H29" s="5"/>
      <c r="I29" s="5"/>
    </row>
    <row r="30" spans="1:12" x14ac:dyDescent="0.25">
      <c r="H30" s="5"/>
      <c r="I30" s="5"/>
    </row>
    <row r="31" spans="1:12" x14ac:dyDescent="0.25">
      <c r="H31" s="5"/>
      <c r="I31" s="5"/>
    </row>
    <row r="32" spans="1:12" x14ac:dyDescent="0.25">
      <c r="H32" s="5"/>
      <c r="I32" s="5"/>
    </row>
    <row r="33" spans="8:9" x14ac:dyDescent="0.25">
      <c r="H33" s="5"/>
      <c r="I33" s="5"/>
    </row>
    <row r="34" spans="8:9" x14ac:dyDescent="0.25">
      <c r="H34" s="5"/>
      <c r="I34" s="5"/>
    </row>
    <row r="35" spans="8:9" x14ac:dyDescent="0.25">
      <c r="H35" s="5"/>
      <c r="I35" s="5"/>
    </row>
    <row r="36" spans="8:9" x14ac:dyDescent="0.25">
      <c r="H36" s="5"/>
      <c r="I36" s="5"/>
    </row>
    <row r="37" spans="8:9" x14ac:dyDescent="0.25">
      <c r="H37" s="5"/>
      <c r="I37" s="5"/>
    </row>
    <row r="38" spans="8:9" x14ac:dyDescent="0.25">
      <c r="H38" s="5"/>
      <c r="I38" s="5"/>
    </row>
    <row r="39" spans="8:9" x14ac:dyDescent="0.25">
      <c r="H39" s="5"/>
      <c r="I39" s="5"/>
    </row>
    <row r="40" spans="8:9" x14ac:dyDescent="0.25">
      <c r="H40" s="5"/>
      <c r="I40" s="5"/>
    </row>
    <row r="41" spans="8:9" x14ac:dyDescent="0.25">
      <c r="H41" s="5"/>
      <c r="I41" s="5"/>
    </row>
  </sheetData>
  <dataValidations count="5">
    <dataValidation type="list" allowBlank="1" showInputMessage="1" showErrorMessage="1" sqref="D23:D1048576 D16:D18">
      <formula1>#REF!</formula1>
    </dataValidation>
    <dataValidation type="list" allowBlank="1" showInputMessage="1" showErrorMessage="1" sqref="G1:G1048576">
      <formula1>$P$2:$P$4</formula1>
    </dataValidation>
    <dataValidation type="list" allowBlank="1" showInputMessage="1" showErrorMessage="1" sqref="F1:F1048576">
      <formula1>$O$2:$O$4</formula1>
    </dataValidation>
    <dataValidation type="list" allowBlank="1" showInputMessage="1" showErrorMessage="1" sqref="E1:E1048576">
      <formula1>$N$2:$N$4</formula1>
    </dataValidation>
    <dataValidation type="list" allowBlank="1" showInputMessage="1" showErrorMessage="1" sqref="J2:J18 H1:H1048576">
      <formula1>$Q$2:$Q$4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selection activeCell="K29" sqref="K29"/>
    </sheetView>
  </sheetViews>
  <sheetFormatPr defaultColWidth="8.85546875" defaultRowHeight="15" x14ac:dyDescent="0.25"/>
  <cols>
    <col min="1" max="1" width="5.140625" style="5" customWidth="1"/>
    <col min="2" max="2" width="15.42578125" style="5" customWidth="1"/>
    <col min="3" max="3" width="27.7109375" style="5" customWidth="1"/>
    <col min="4" max="4" width="14.5703125" style="5" customWidth="1"/>
    <col min="5" max="5" width="21.140625" style="5" customWidth="1"/>
    <col min="6" max="6" width="15.42578125" style="5" customWidth="1"/>
    <col min="7" max="7" width="18.42578125" style="5" customWidth="1"/>
    <col min="8" max="8" width="18.42578125" customWidth="1"/>
    <col min="9" max="9" width="11.140625" style="5" customWidth="1"/>
    <col min="10" max="10" width="10.5703125" style="5" customWidth="1"/>
    <col min="11" max="16384" width="8.85546875" style="5"/>
  </cols>
  <sheetData>
    <row r="1" spans="1:15" s="6" customFormat="1" x14ac:dyDescent="0.25">
      <c r="A1" s="2" t="s">
        <v>2</v>
      </c>
      <c r="B1" s="2" t="s">
        <v>0</v>
      </c>
      <c r="C1" s="2" t="s">
        <v>1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52</v>
      </c>
      <c r="I1" s="2" t="s">
        <v>15</v>
      </c>
      <c r="J1" s="2" t="s">
        <v>16</v>
      </c>
    </row>
    <row r="2" spans="1:15" x14ac:dyDescent="0.25">
      <c r="A2" s="3">
        <v>1</v>
      </c>
      <c r="B2" s="4" t="s">
        <v>149</v>
      </c>
      <c r="C2" s="8" t="s">
        <v>148</v>
      </c>
      <c r="D2" s="4"/>
      <c r="E2" s="3" t="s">
        <v>7</v>
      </c>
      <c r="F2" s="3" t="s">
        <v>11</v>
      </c>
      <c r="G2" s="3" t="s">
        <v>13</v>
      </c>
      <c r="H2" s="3" t="s">
        <v>54</v>
      </c>
      <c r="I2" s="3" t="s">
        <v>87</v>
      </c>
      <c r="J2" s="3" t="s">
        <v>79</v>
      </c>
      <c r="L2" t="s">
        <v>6</v>
      </c>
      <c r="M2" t="s">
        <v>9</v>
      </c>
      <c r="N2" t="s">
        <v>12</v>
      </c>
      <c r="O2" t="s">
        <v>53</v>
      </c>
    </row>
    <row r="3" spans="1:15" x14ac:dyDescent="0.25">
      <c r="A3" s="3">
        <v>2</v>
      </c>
      <c r="B3" s="4" t="s">
        <v>151</v>
      </c>
      <c r="C3" s="8" t="s">
        <v>150</v>
      </c>
      <c r="D3" s="4"/>
      <c r="E3" s="3" t="s">
        <v>7</v>
      </c>
      <c r="F3" s="3" t="s">
        <v>10</v>
      </c>
      <c r="G3" s="3" t="s">
        <v>12</v>
      </c>
      <c r="H3" s="3" t="s">
        <v>53</v>
      </c>
      <c r="I3" s="3" t="s">
        <v>93</v>
      </c>
      <c r="J3" s="3" t="s">
        <v>79</v>
      </c>
      <c r="L3" t="s">
        <v>7</v>
      </c>
      <c r="M3" t="s">
        <v>10</v>
      </c>
      <c r="N3" t="s">
        <v>13</v>
      </c>
      <c r="O3" t="s">
        <v>7</v>
      </c>
    </row>
    <row r="4" spans="1:15" x14ac:dyDescent="0.25">
      <c r="A4" s="3">
        <v>3</v>
      </c>
      <c r="B4" s="4" t="s">
        <v>153</v>
      </c>
      <c r="C4" s="8" t="s">
        <v>152</v>
      </c>
      <c r="D4" s="4"/>
      <c r="E4" s="3" t="s">
        <v>7</v>
      </c>
      <c r="F4" s="3" t="s">
        <v>9</v>
      </c>
      <c r="G4" s="3" t="s">
        <v>14</v>
      </c>
      <c r="H4" s="3" t="s">
        <v>7</v>
      </c>
      <c r="I4" s="3" t="s">
        <v>94</v>
      </c>
      <c r="J4" s="3" t="s">
        <v>79</v>
      </c>
      <c r="L4" t="s">
        <v>8</v>
      </c>
      <c r="M4" t="s">
        <v>11</v>
      </c>
      <c r="N4" t="s">
        <v>14</v>
      </c>
      <c r="O4" t="s">
        <v>54</v>
      </c>
    </row>
    <row r="5" spans="1:15" x14ac:dyDescent="0.25">
      <c r="A5" s="3">
        <v>4</v>
      </c>
      <c r="B5" s="4" t="s">
        <v>155</v>
      </c>
      <c r="C5" s="8" t="s">
        <v>154</v>
      </c>
      <c r="D5" s="4"/>
      <c r="E5" s="3" t="s">
        <v>6</v>
      </c>
      <c r="F5" s="3" t="s">
        <v>9</v>
      </c>
      <c r="G5" s="3" t="s">
        <v>12</v>
      </c>
      <c r="H5" s="3" t="s">
        <v>53</v>
      </c>
      <c r="I5" s="3" t="s">
        <v>95</v>
      </c>
      <c r="J5" s="3" t="s">
        <v>79</v>
      </c>
    </row>
    <row r="6" spans="1:15" x14ac:dyDescent="0.25">
      <c r="A6" s="3">
        <v>5</v>
      </c>
      <c r="B6" s="4" t="s">
        <v>157</v>
      </c>
      <c r="C6" s="8" t="s">
        <v>156</v>
      </c>
      <c r="D6" s="4"/>
      <c r="E6" s="3" t="s">
        <v>8</v>
      </c>
      <c r="F6" s="3" t="s">
        <v>10</v>
      </c>
      <c r="G6" s="3" t="s">
        <v>14</v>
      </c>
      <c r="H6" s="3" t="s">
        <v>54</v>
      </c>
      <c r="I6" s="3" t="s">
        <v>96</v>
      </c>
      <c r="J6" s="3" t="s">
        <v>79</v>
      </c>
    </row>
    <row r="7" spans="1:15" x14ac:dyDescent="0.25">
      <c r="A7" s="3">
        <v>6</v>
      </c>
      <c r="B7" s="4" t="s">
        <v>159</v>
      </c>
      <c r="C7" s="8" t="s">
        <v>158</v>
      </c>
      <c r="D7" s="4"/>
      <c r="E7" s="3" t="s">
        <v>8</v>
      </c>
      <c r="F7" s="3" t="s">
        <v>10</v>
      </c>
      <c r="G7" s="3" t="s">
        <v>14</v>
      </c>
      <c r="H7" s="3" t="s">
        <v>54</v>
      </c>
      <c r="I7" s="3" t="s">
        <v>97</v>
      </c>
      <c r="J7" s="3" t="s">
        <v>79</v>
      </c>
    </row>
    <row r="8" spans="1:15" x14ac:dyDescent="0.25">
      <c r="A8" s="3">
        <v>7</v>
      </c>
      <c r="B8" s="4" t="s">
        <v>161</v>
      </c>
      <c r="C8" s="8" t="s">
        <v>160</v>
      </c>
      <c r="D8" s="4"/>
      <c r="E8" s="3" t="s">
        <v>7</v>
      </c>
      <c r="F8" s="3" t="s">
        <v>10</v>
      </c>
      <c r="G8" s="3" t="s">
        <v>13</v>
      </c>
      <c r="H8" s="3" t="s">
        <v>54</v>
      </c>
      <c r="I8" s="3" t="s">
        <v>98</v>
      </c>
      <c r="J8" s="3" t="s">
        <v>79</v>
      </c>
    </row>
    <row r="9" spans="1:15" x14ac:dyDescent="0.25">
      <c r="A9" s="3">
        <v>8</v>
      </c>
      <c r="B9" s="4" t="s">
        <v>163</v>
      </c>
      <c r="C9" s="8" t="s">
        <v>162</v>
      </c>
      <c r="D9" s="4"/>
      <c r="E9" s="3" t="s">
        <v>7</v>
      </c>
      <c r="F9" s="3" t="s">
        <v>10</v>
      </c>
      <c r="G9" s="3" t="s">
        <v>14</v>
      </c>
      <c r="H9" s="3" t="s">
        <v>54</v>
      </c>
      <c r="I9" s="3" t="s">
        <v>99</v>
      </c>
      <c r="J9" s="3" t="s">
        <v>79</v>
      </c>
    </row>
    <row r="10" spans="1:15" x14ac:dyDescent="0.25">
      <c r="A10" s="3">
        <v>9</v>
      </c>
      <c r="B10" s="4" t="s">
        <v>165</v>
      </c>
      <c r="C10" s="8" t="s">
        <v>164</v>
      </c>
      <c r="D10" s="4"/>
      <c r="E10" s="3" t="s">
        <v>8</v>
      </c>
      <c r="F10" s="3" t="s">
        <v>11</v>
      </c>
      <c r="G10" s="3" t="s">
        <v>13</v>
      </c>
      <c r="H10" s="3" t="s">
        <v>54</v>
      </c>
      <c r="I10" s="3" t="s">
        <v>100</v>
      </c>
      <c r="J10" s="3" t="s">
        <v>79</v>
      </c>
    </row>
    <row r="11" spans="1:15" x14ac:dyDescent="0.25">
      <c r="A11" s="3">
        <v>10</v>
      </c>
      <c r="B11" s="4" t="s">
        <v>167</v>
      </c>
      <c r="C11" s="8" t="s">
        <v>166</v>
      </c>
      <c r="D11" s="4"/>
      <c r="E11" s="3" t="s">
        <v>7</v>
      </c>
      <c r="F11" s="3" t="s">
        <v>10</v>
      </c>
      <c r="G11" s="3" t="s">
        <v>12</v>
      </c>
      <c r="H11" s="3" t="s">
        <v>54</v>
      </c>
      <c r="I11" s="3" t="s">
        <v>101</v>
      </c>
      <c r="J11" s="3" t="s">
        <v>79</v>
      </c>
    </row>
    <row r="12" spans="1:15" x14ac:dyDescent="0.25">
      <c r="A12" s="3">
        <v>11</v>
      </c>
      <c r="B12" s="4" t="s">
        <v>177</v>
      </c>
      <c r="C12" s="8" t="s">
        <v>176</v>
      </c>
      <c r="D12" s="4"/>
      <c r="E12" s="3" t="s">
        <v>7</v>
      </c>
      <c r="F12" s="3" t="s">
        <v>10</v>
      </c>
      <c r="G12" s="3" t="s">
        <v>13</v>
      </c>
      <c r="H12" s="3" t="s">
        <v>7</v>
      </c>
      <c r="I12" s="3" t="s">
        <v>102</v>
      </c>
      <c r="J12" s="3" t="s">
        <v>79</v>
      </c>
    </row>
    <row r="13" spans="1:15" x14ac:dyDescent="0.25">
      <c r="A13" s="3">
        <v>12</v>
      </c>
      <c r="B13" s="4" t="s">
        <v>193</v>
      </c>
      <c r="C13" s="8" t="s">
        <v>192</v>
      </c>
      <c r="D13" s="4"/>
      <c r="E13" s="3" t="s">
        <v>8</v>
      </c>
      <c r="F13" s="3" t="s">
        <v>10</v>
      </c>
      <c r="G13" s="3" t="s">
        <v>14</v>
      </c>
      <c r="H13" s="3" t="s">
        <v>54</v>
      </c>
      <c r="I13" s="3" t="s">
        <v>103</v>
      </c>
      <c r="J13" s="3" t="s">
        <v>79</v>
      </c>
    </row>
    <row r="14" spans="1:15" x14ac:dyDescent="0.25">
      <c r="A14" s="3">
        <v>13</v>
      </c>
      <c r="B14" s="4" t="s">
        <v>191</v>
      </c>
      <c r="C14" s="8" t="s">
        <v>190</v>
      </c>
      <c r="D14" s="4"/>
      <c r="E14" s="3" t="s">
        <v>7</v>
      </c>
      <c r="F14" s="3" t="s">
        <v>11</v>
      </c>
      <c r="G14" s="3" t="s">
        <v>13</v>
      </c>
      <c r="H14" s="3" t="s">
        <v>7</v>
      </c>
      <c r="I14" s="3" t="s">
        <v>104</v>
      </c>
      <c r="J14" s="3" t="s">
        <v>79</v>
      </c>
    </row>
    <row r="15" spans="1:15" x14ac:dyDescent="0.25">
      <c r="A15" s="3">
        <v>14</v>
      </c>
      <c r="B15" s="4" t="s">
        <v>189</v>
      </c>
      <c r="C15" s="8" t="s">
        <v>188</v>
      </c>
      <c r="D15" s="4"/>
      <c r="E15" s="3" t="s">
        <v>8</v>
      </c>
      <c r="F15" s="3" t="s">
        <v>11</v>
      </c>
      <c r="G15" s="3" t="s">
        <v>14</v>
      </c>
      <c r="H15" s="3" t="s">
        <v>54</v>
      </c>
      <c r="I15" s="3" t="s">
        <v>105</v>
      </c>
      <c r="J15" s="3" t="s">
        <v>79</v>
      </c>
    </row>
    <row r="16" spans="1:15" x14ac:dyDescent="0.25">
      <c r="A16" s="3">
        <v>15</v>
      </c>
      <c r="B16" s="3" t="s">
        <v>187</v>
      </c>
      <c r="C16" s="8" t="s">
        <v>186</v>
      </c>
      <c r="D16" s="3"/>
      <c r="E16" s="3" t="s">
        <v>7</v>
      </c>
      <c r="F16" s="3" t="s">
        <v>9</v>
      </c>
      <c r="G16" s="3" t="s">
        <v>13</v>
      </c>
      <c r="H16" s="3" t="s">
        <v>7</v>
      </c>
      <c r="I16" s="3" t="s">
        <v>106</v>
      </c>
      <c r="J16" s="3" t="s">
        <v>79</v>
      </c>
    </row>
    <row r="17" spans="1:10" x14ac:dyDescent="0.25">
      <c r="A17" s="28">
        <v>16</v>
      </c>
      <c r="B17" s="28" t="s">
        <v>182</v>
      </c>
      <c r="C17" s="30" t="s">
        <v>183</v>
      </c>
      <c r="D17" s="28"/>
      <c r="E17" s="28" t="s">
        <v>7</v>
      </c>
      <c r="F17" s="28" t="s">
        <v>10</v>
      </c>
      <c r="G17" s="28" t="s">
        <v>12</v>
      </c>
      <c r="H17" s="28" t="s">
        <v>53</v>
      </c>
      <c r="I17" s="28" t="s">
        <v>107</v>
      </c>
      <c r="J17" s="28" t="s">
        <v>80</v>
      </c>
    </row>
    <row r="18" spans="1:10" x14ac:dyDescent="0.25">
      <c r="A18" s="28">
        <v>17</v>
      </c>
      <c r="B18" s="28" t="s">
        <v>185</v>
      </c>
      <c r="C18" s="30" t="s">
        <v>184</v>
      </c>
      <c r="D18" s="28"/>
      <c r="E18" s="28" t="s">
        <v>8</v>
      </c>
      <c r="F18" s="28" t="s">
        <v>10</v>
      </c>
      <c r="G18" s="28" t="s">
        <v>14</v>
      </c>
      <c r="H18" s="28" t="s">
        <v>54</v>
      </c>
      <c r="I18" s="28" t="s">
        <v>108</v>
      </c>
      <c r="J18" s="28" t="s">
        <v>80</v>
      </c>
    </row>
    <row r="19" spans="1:10" x14ac:dyDescent="0.25">
      <c r="A19" s="28">
        <v>18</v>
      </c>
      <c r="B19" s="28" t="s">
        <v>181</v>
      </c>
      <c r="C19" s="30" t="s">
        <v>180</v>
      </c>
      <c r="D19" s="28"/>
      <c r="E19" s="28" t="s">
        <v>8</v>
      </c>
      <c r="F19" s="28" t="s">
        <v>10</v>
      </c>
      <c r="G19" s="28" t="s">
        <v>14</v>
      </c>
      <c r="H19" s="28" t="s">
        <v>54</v>
      </c>
      <c r="I19" s="28" t="s">
        <v>109</v>
      </c>
      <c r="J19" s="28" t="s">
        <v>80</v>
      </c>
    </row>
    <row r="20" spans="1:10" x14ac:dyDescent="0.25">
      <c r="A20" s="28">
        <v>19</v>
      </c>
      <c r="B20" s="28" t="s">
        <v>179</v>
      </c>
      <c r="C20" s="30" t="s">
        <v>178</v>
      </c>
      <c r="D20" s="28"/>
      <c r="E20" s="28" t="s">
        <v>7</v>
      </c>
      <c r="F20" s="28" t="s">
        <v>10</v>
      </c>
      <c r="G20" s="28" t="s">
        <v>13</v>
      </c>
      <c r="H20" s="28" t="s">
        <v>7</v>
      </c>
      <c r="I20" s="28" t="s">
        <v>110</v>
      </c>
      <c r="J20" s="28" t="s">
        <v>80</v>
      </c>
    </row>
    <row r="21" spans="1:10" x14ac:dyDescent="0.25">
      <c r="A21" s="28">
        <v>20</v>
      </c>
      <c r="B21" s="28" t="s">
        <v>175</v>
      </c>
      <c r="C21" s="30" t="s">
        <v>174</v>
      </c>
      <c r="D21" s="28"/>
      <c r="E21" s="28" t="s">
        <v>7</v>
      </c>
      <c r="F21" s="28" t="s">
        <v>11</v>
      </c>
      <c r="G21" s="28" t="s">
        <v>12</v>
      </c>
      <c r="H21" s="28" t="s">
        <v>7</v>
      </c>
      <c r="I21" s="28" t="s">
        <v>111</v>
      </c>
      <c r="J21" s="28" t="s">
        <v>80</v>
      </c>
    </row>
    <row r="22" spans="1:10" x14ac:dyDescent="0.25">
      <c r="A22" s="25">
        <v>21</v>
      </c>
      <c r="B22" s="25" t="s">
        <v>173</v>
      </c>
      <c r="C22" s="31" t="s">
        <v>172</v>
      </c>
      <c r="D22" s="25"/>
      <c r="E22" s="25" t="s">
        <v>6</v>
      </c>
      <c r="F22" s="25" t="s">
        <v>10</v>
      </c>
      <c r="G22" s="25" t="s">
        <v>13</v>
      </c>
      <c r="H22" s="25" t="s">
        <v>7</v>
      </c>
      <c r="I22" s="25" t="s">
        <v>112</v>
      </c>
      <c r="J22" s="25" t="s">
        <v>81</v>
      </c>
    </row>
    <row r="23" spans="1:10" x14ac:dyDescent="0.25">
      <c r="A23" s="25">
        <v>22</v>
      </c>
      <c r="B23" s="25" t="s">
        <v>171</v>
      </c>
      <c r="C23" s="31" t="s">
        <v>170</v>
      </c>
      <c r="D23" s="25"/>
      <c r="E23" s="25" t="s">
        <v>6</v>
      </c>
      <c r="F23" s="25" t="s">
        <v>10</v>
      </c>
      <c r="G23" s="25" t="s">
        <v>12</v>
      </c>
      <c r="H23" s="25" t="s">
        <v>53</v>
      </c>
      <c r="I23" s="25" t="s">
        <v>113</v>
      </c>
      <c r="J23" s="25" t="s">
        <v>81</v>
      </c>
    </row>
    <row r="24" spans="1:10" x14ac:dyDescent="0.25">
      <c r="A24" s="25">
        <v>23</v>
      </c>
      <c r="B24" s="25" t="s">
        <v>169</v>
      </c>
      <c r="C24" s="31" t="s">
        <v>168</v>
      </c>
      <c r="D24" s="25"/>
      <c r="E24" s="25" t="s">
        <v>7</v>
      </c>
      <c r="F24" s="25" t="s">
        <v>10</v>
      </c>
      <c r="G24" s="25" t="s">
        <v>13</v>
      </c>
      <c r="H24" s="25" t="s">
        <v>53</v>
      </c>
      <c r="I24" s="25" t="s">
        <v>114</v>
      </c>
      <c r="J24" s="25" t="s">
        <v>81</v>
      </c>
    </row>
    <row r="25" spans="1:10" x14ac:dyDescent="0.25">
      <c r="H25" s="5"/>
    </row>
    <row r="26" spans="1:10" x14ac:dyDescent="0.25">
      <c r="H26" s="5"/>
    </row>
    <row r="27" spans="1:10" x14ac:dyDescent="0.25">
      <c r="H27" s="5"/>
    </row>
    <row r="28" spans="1:10" x14ac:dyDescent="0.25">
      <c r="H28" s="5"/>
    </row>
    <row r="29" spans="1:10" x14ac:dyDescent="0.25">
      <c r="H29" s="5"/>
    </row>
    <row r="30" spans="1:10" x14ac:dyDescent="0.25">
      <c r="H30" s="5"/>
    </row>
    <row r="31" spans="1:10" x14ac:dyDescent="0.25">
      <c r="H31" s="5"/>
    </row>
    <row r="32" spans="1:10" x14ac:dyDescent="0.25">
      <c r="H32" s="5"/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  <row r="41" spans="8:8" x14ac:dyDescent="0.25">
      <c r="H41" s="5"/>
    </row>
  </sheetData>
  <dataValidations count="5">
    <dataValidation type="list" allowBlank="1" showInputMessage="1" showErrorMessage="1" sqref="D16:D19 D24:D1048576">
      <formula1>#REF!</formula1>
    </dataValidation>
    <dataValidation type="list" allowBlank="1" showInputMessage="1" showErrorMessage="1" sqref="E1:E1048576">
      <formula1>$L$2:$L$4</formula1>
    </dataValidation>
    <dataValidation type="list" allowBlank="1" showInputMessage="1" showErrorMessage="1" sqref="F1:F1048576">
      <formula1>$M$2:$M$4</formula1>
    </dataValidation>
    <dataValidation type="list" allowBlank="1" showInputMessage="1" showErrorMessage="1" sqref="G1:G1048576">
      <formula1>$N$2:$N$4</formula1>
    </dataValidation>
    <dataValidation type="list" allowBlank="1" showInputMessage="1" showErrorMessage="1" sqref="H1:H1048576">
      <formula1>$O$2:$O$4</formula1>
    </dataValidation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workbookViewId="0">
      <selection activeCell="F31" sqref="F31"/>
    </sheetView>
  </sheetViews>
  <sheetFormatPr defaultColWidth="8.85546875" defaultRowHeight="15" x14ac:dyDescent="0.25"/>
  <cols>
    <col min="1" max="1" width="5.140625" style="5" customWidth="1"/>
    <col min="2" max="2" width="15.42578125" style="5" customWidth="1"/>
    <col min="3" max="3" width="27.28515625" style="7" customWidth="1"/>
    <col min="4" max="4" width="14.5703125" style="5" customWidth="1"/>
    <col min="5" max="5" width="21.140625" style="5" customWidth="1"/>
    <col min="6" max="6" width="19.7109375" style="5" customWidth="1"/>
    <col min="7" max="7" width="18.42578125" style="5" customWidth="1"/>
    <col min="8" max="8" width="18.42578125" customWidth="1"/>
    <col min="9" max="9" width="11.140625" style="5" customWidth="1"/>
    <col min="10" max="10" width="10.5703125" style="5" customWidth="1"/>
    <col min="11" max="16384" width="8.85546875" style="5"/>
  </cols>
  <sheetData>
    <row r="1" spans="1:15" s="6" customFormat="1" x14ac:dyDescent="0.25">
      <c r="A1" s="2" t="s">
        <v>2</v>
      </c>
      <c r="B1" s="2" t="s">
        <v>0</v>
      </c>
      <c r="C1" s="2" t="s">
        <v>1</v>
      </c>
      <c r="D1" s="2" t="s">
        <v>17</v>
      </c>
      <c r="E1" s="2" t="s">
        <v>3</v>
      </c>
      <c r="F1" s="2" t="s">
        <v>4</v>
      </c>
      <c r="G1" s="2" t="s">
        <v>5</v>
      </c>
      <c r="H1" s="2" t="s">
        <v>52</v>
      </c>
      <c r="I1" s="2" t="s">
        <v>15</v>
      </c>
      <c r="J1" s="2" t="s">
        <v>16</v>
      </c>
    </row>
    <row r="2" spans="1:15" x14ac:dyDescent="0.25">
      <c r="A2" s="3">
        <v>1</v>
      </c>
      <c r="B2" s="9" t="s">
        <v>194</v>
      </c>
      <c r="C2" s="9" t="s">
        <v>195</v>
      </c>
      <c r="D2" s="3"/>
      <c r="E2" s="3"/>
      <c r="F2" s="3"/>
      <c r="G2" s="3"/>
      <c r="H2" s="3"/>
      <c r="I2" s="3" t="s">
        <v>87</v>
      </c>
      <c r="J2" s="3" t="s">
        <v>79</v>
      </c>
      <c r="L2" t="s">
        <v>6</v>
      </c>
      <c r="M2" t="s">
        <v>9</v>
      </c>
      <c r="N2" t="s">
        <v>12</v>
      </c>
      <c r="O2" t="s">
        <v>53</v>
      </c>
    </row>
    <row r="3" spans="1:15" x14ac:dyDescent="0.25">
      <c r="A3" s="3">
        <v>2</v>
      </c>
      <c r="B3" s="9" t="s">
        <v>196</v>
      </c>
      <c r="C3" s="9" t="s">
        <v>197</v>
      </c>
      <c r="D3" s="3"/>
      <c r="E3" s="3"/>
      <c r="F3" s="3"/>
      <c r="G3" s="3"/>
      <c r="H3" s="3"/>
      <c r="I3" s="3" t="s">
        <v>93</v>
      </c>
      <c r="J3" s="3" t="s">
        <v>79</v>
      </c>
      <c r="L3" t="s">
        <v>7</v>
      </c>
      <c r="M3" t="s">
        <v>10</v>
      </c>
      <c r="N3" t="s">
        <v>13</v>
      </c>
      <c r="O3" t="s">
        <v>7</v>
      </c>
    </row>
    <row r="4" spans="1:15" x14ac:dyDescent="0.25">
      <c r="A4" s="3">
        <v>3</v>
      </c>
      <c r="B4" s="9" t="s">
        <v>198</v>
      </c>
      <c r="C4" s="9" t="s">
        <v>199</v>
      </c>
      <c r="D4" s="3"/>
      <c r="E4" s="3"/>
      <c r="F4" s="3"/>
      <c r="G4" s="3"/>
      <c r="H4" s="3"/>
      <c r="I4" s="3" t="s">
        <v>94</v>
      </c>
      <c r="J4" s="3" t="s">
        <v>79</v>
      </c>
      <c r="L4" t="s">
        <v>8</v>
      </c>
      <c r="M4" t="s">
        <v>11</v>
      </c>
      <c r="N4" t="s">
        <v>14</v>
      </c>
      <c r="O4" t="s">
        <v>54</v>
      </c>
    </row>
    <row r="5" spans="1:15" x14ac:dyDescent="0.25">
      <c r="A5" s="3">
        <v>4</v>
      </c>
      <c r="B5" s="9" t="s">
        <v>200</v>
      </c>
      <c r="C5" s="9" t="s">
        <v>201</v>
      </c>
      <c r="D5" s="3"/>
      <c r="E5" s="3"/>
      <c r="F5" s="3"/>
      <c r="G5" s="3"/>
      <c r="H5" s="3"/>
      <c r="I5" s="3" t="s">
        <v>95</v>
      </c>
      <c r="J5" s="3" t="s">
        <v>79</v>
      </c>
    </row>
    <row r="6" spans="1:15" x14ac:dyDescent="0.25">
      <c r="A6" s="3">
        <v>5</v>
      </c>
      <c r="B6" s="9" t="s">
        <v>202</v>
      </c>
      <c r="C6" s="9" t="s">
        <v>203</v>
      </c>
      <c r="D6" s="3"/>
      <c r="E6" s="3"/>
      <c r="F6" s="3"/>
      <c r="G6" s="3"/>
      <c r="H6" s="3"/>
      <c r="I6" s="3" t="s">
        <v>96</v>
      </c>
      <c r="J6" s="3" t="s">
        <v>79</v>
      </c>
    </row>
    <row r="7" spans="1:15" x14ac:dyDescent="0.25">
      <c r="A7" s="3">
        <v>6</v>
      </c>
      <c r="B7" s="9" t="s">
        <v>122</v>
      </c>
      <c r="C7" s="9" t="s">
        <v>204</v>
      </c>
      <c r="D7" s="3"/>
      <c r="E7" s="3"/>
      <c r="F7" s="3"/>
      <c r="G7" s="3"/>
      <c r="H7" s="3"/>
      <c r="I7" s="3" t="s">
        <v>97</v>
      </c>
      <c r="J7" s="3" t="s">
        <v>79</v>
      </c>
    </row>
    <row r="8" spans="1:15" x14ac:dyDescent="0.25">
      <c r="A8" s="3">
        <v>7</v>
      </c>
      <c r="B8" s="9" t="s">
        <v>205</v>
      </c>
      <c r="C8" s="9" t="s">
        <v>206</v>
      </c>
      <c r="D8" s="3"/>
      <c r="E8" s="3"/>
      <c r="F8" s="3"/>
      <c r="G8" s="3"/>
      <c r="H8" s="3"/>
      <c r="I8" s="3" t="s">
        <v>98</v>
      </c>
      <c r="J8" s="3" t="s">
        <v>79</v>
      </c>
    </row>
    <row r="9" spans="1:15" x14ac:dyDescent="0.25">
      <c r="A9" s="3">
        <v>8</v>
      </c>
      <c r="B9" s="9" t="s">
        <v>207</v>
      </c>
      <c r="C9" s="9" t="s">
        <v>208</v>
      </c>
      <c r="D9" s="3"/>
      <c r="E9" s="3"/>
      <c r="F9" s="3"/>
      <c r="G9" s="3"/>
      <c r="H9" s="3"/>
      <c r="I9" s="3" t="s">
        <v>99</v>
      </c>
      <c r="J9" s="3" t="s">
        <v>79</v>
      </c>
    </row>
    <row r="10" spans="1:15" x14ac:dyDescent="0.25">
      <c r="A10" s="3">
        <v>9</v>
      </c>
      <c r="B10" s="9" t="s">
        <v>209</v>
      </c>
      <c r="C10" s="9" t="s">
        <v>210</v>
      </c>
      <c r="D10" s="3"/>
      <c r="E10" s="3"/>
      <c r="F10" s="3"/>
      <c r="G10" s="3"/>
      <c r="H10" s="3"/>
      <c r="I10" s="3" t="s">
        <v>100</v>
      </c>
      <c r="J10" s="3" t="s">
        <v>79</v>
      </c>
    </row>
    <row r="11" spans="1:15" x14ac:dyDescent="0.25">
      <c r="A11" s="3">
        <v>10</v>
      </c>
      <c r="B11" s="9" t="s">
        <v>211</v>
      </c>
      <c r="C11" s="9" t="s">
        <v>212</v>
      </c>
      <c r="D11" s="3"/>
      <c r="E11" s="3"/>
      <c r="F11" s="3"/>
      <c r="G11" s="3"/>
      <c r="H11" s="3"/>
      <c r="I11" s="3" t="s">
        <v>101</v>
      </c>
      <c r="J11" s="3" t="s">
        <v>79</v>
      </c>
    </row>
    <row r="12" spans="1:15" x14ac:dyDescent="0.25">
      <c r="A12" s="3">
        <v>11</v>
      </c>
      <c r="B12" s="9" t="s">
        <v>213</v>
      </c>
      <c r="C12" s="9" t="s">
        <v>214</v>
      </c>
      <c r="D12" s="3"/>
      <c r="E12" s="3"/>
      <c r="F12" s="3"/>
      <c r="G12" s="3"/>
      <c r="H12" s="3"/>
      <c r="I12" s="3" t="s">
        <v>102</v>
      </c>
      <c r="J12" s="3" t="s">
        <v>79</v>
      </c>
    </row>
    <row r="13" spans="1:15" x14ac:dyDescent="0.25">
      <c r="A13" s="3">
        <v>12</v>
      </c>
      <c r="B13" s="9" t="s">
        <v>215</v>
      </c>
      <c r="C13" s="9" t="s">
        <v>216</v>
      </c>
      <c r="D13" s="3"/>
      <c r="E13" s="3"/>
      <c r="F13" s="3"/>
      <c r="G13" s="3"/>
      <c r="H13" s="3"/>
      <c r="I13" s="3" t="s">
        <v>103</v>
      </c>
      <c r="J13" s="3" t="s">
        <v>79</v>
      </c>
    </row>
    <row r="14" spans="1:15" x14ac:dyDescent="0.25">
      <c r="A14" s="3">
        <v>13</v>
      </c>
      <c r="B14" s="9" t="s">
        <v>217</v>
      </c>
      <c r="C14" s="9" t="s">
        <v>218</v>
      </c>
      <c r="D14" s="3"/>
      <c r="E14" s="3"/>
      <c r="F14" s="3"/>
      <c r="G14" s="3"/>
      <c r="H14" s="3"/>
      <c r="I14" s="3" t="s">
        <v>104</v>
      </c>
      <c r="J14" s="3" t="s">
        <v>79</v>
      </c>
    </row>
    <row r="15" spans="1:15" x14ac:dyDescent="0.25">
      <c r="A15" s="3">
        <v>14</v>
      </c>
      <c r="B15" s="9" t="s">
        <v>193</v>
      </c>
      <c r="C15" s="9" t="s">
        <v>219</v>
      </c>
      <c r="D15" s="3"/>
      <c r="E15" s="3"/>
      <c r="F15" s="3"/>
      <c r="G15" s="3"/>
      <c r="H15" s="3"/>
      <c r="I15" s="3" t="s">
        <v>105</v>
      </c>
      <c r="J15" s="3" t="s">
        <v>79</v>
      </c>
    </row>
    <row r="16" spans="1:15" x14ac:dyDescent="0.25">
      <c r="A16" s="3">
        <v>15</v>
      </c>
      <c r="B16" s="9" t="s">
        <v>220</v>
      </c>
      <c r="C16" s="9" t="s">
        <v>221</v>
      </c>
      <c r="D16" s="3"/>
      <c r="E16" s="3"/>
      <c r="F16" s="3"/>
      <c r="G16" s="3"/>
      <c r="H16" s="3"/>
      <c r="I16" s="3" t="s">
        <v>106</v>
      </c>
      <c r="J16" s="3" t="s">
        <v>79</v>
      </c>
    </row>
    <row r="17" spans="1:10" x14ac:dyDescent="0.25">
      <c r="A17" s="28">
        <v>16</v>
      </c>
      <c r="B17" s="26" t="s">
        <v>222</v>
      </c>
      <c r="C17" s="26" t="s">
        <v>223</v>
      </c>
      <c r="D17" s="28"/>
      <c r="E17" s="28"/>
      <c r="F17" s="28"/>
      <c r="G17" s="28"/>
      <c r="H17" s="28"/>
      <c r="I17" s="28" t="s">
        <v>107</v>
      </c>
      <c r="J17" s="28" t="s">
        <v>80</v>
      </c>
    </row>
    <row r="18" spans="1:10" x14ac:dyDescent="0.25">
      <c r="A18" s="28">
        <v>17</v>
      </c>
      <c r="B18" s="26" t="s">
        <v>224</v>
      </c>
      <c r="C18" s="26" t="s">
        <v>225</v>
      </c>
      <c r="D18" s="28"/>
      <c r="E18" s="28"/>
      <c r="F18" s="28"/>
      <c r="G18" s="28"/>
      <c r="H18" s="28"/>
      <c r="I18" s="28" t="s">
        <v>108</v>
      </c>
      <c r="J18" s="28" t="s">
        <v>80</v>
      </c>
    </row>
    <row r="19" spans="1:10" x14ac:dyDescent="0.25">
      <c r="A19" s="28">
        <v>18</v>
      </c>
      <c r="B19" s="26" t="s">
        <v>226</v>
      </c>
      <c r="C19" s="26" t="s">
        <v>227</v>
      </c>
      <c r="D19" s="28"/>
      <c r="E19" s="28"/>
      <c r="F19" s="28"/>
      <c r="G19" s="28"/>
      <c r="H19" s="28"/>
      <c r="I19" s="28" t="s">
        <v>109</v>
      </c>
      <c r="J19" s="28" t="s">
        <v>80</v>
      </c>
    </row>
    <row r="20" spans="1:10" x14ac:dyDescent="0.25">
      <c r="A20" s="28">
        <v>19</v>
      </c>
      <c r="B20" s="26" t="s">
        <v>228</v>
      </c>
      <c r="C20" s="26" t="s">
        <v>229</v>
      </c>
      <c r="D20" s="28"/>
      <c r="E20" s="28"/>
      <c r="F20" s="28"/>
      <c r="G20" s="28"/>
      <c r="H20" s="28"/>
      <c r="I20" s="28" t="s">
        <v>110</v>
      </c>
      <c r="J20" s="28" t="s">
        <v>80</v>
      </c>
    </row>
    <row r="21" spans="1:10" x14ac:dyDescent="0.25">
      <c r="A21" s="28">
        <v>20</v>
      </c>
      <c r="B21" s="26" t="s">
        <v>198</v>
      </c>
      <c r="C21" s="26" t="s">
        <v>235</v>
      </c>
      <c r="D21" s="26"/>
      <c r="E21" s="28"/>
      <c r="F21" s="28"/>
      <c r="G21" s="28"/>
      <c r="H21" s="28"/>
      <c r="I21" s="28" t="s">
        <v>111</v>
      </c>
      <c r="J21" s="28" t="s">
        <v>80</v>
      </c>
    </row>
    <row r="22" spans="1:10" x14ac:dyDescent="0.25">
      <c r="A22" s="25">
        <v>21</v>
      </c>
      <c r="B22" s="23" t="s">
        <v>230</v>
      </c>
      <c r="C22" s="23" t="s">
        <v>231</v>
      </c>
      <c r="D22" s="25"/>
      <c r="E22" s="25"/>
      <c r="F22" s="25"/>
      <c r="G22" s="25"/>
      <c r="H22" s="25"/>
      <c r="I22" s="25" t="s">
        <v>112</v>
      </c>
      <c r="J22" s="25" t="s">
        <v>81</v>
      </c>
    </row>
    <row r="23" spans="1:10" x14ac:dyDescent="0.25">
      <c r="A23" s="25">
        <v>22</v>
      </c>
      <c r="B23" s="23" t="s">
        <v>215</v>
      </c>
      <c r="C23" s="23" t="s">
        <v>232</v>
      </c>
      <c r="D23" s="25"/>
      <c r="E23" s="25"/>
      <c r="F23" s="25"/>
      <c r="G23" s="25"/>
      <c r="H23" s="25"/>
      <c r="I23" s="25" t="s">
        <v>113</v>
      </c>
      <c r="J23" s="25" t="s">
        <v>81</v>
      </c>
    </row>
    <row r="24" spans="1:10" x14ac:dyDescent="0.25">
      <c r="A24" s="25">
        <v>23</v>
      </c>
      <c r="B24" s="23" t="s">
        <v>233</v>
      </c>
      <c r="C24" s="23" t="s">
        <v>234</v>
      </c>
      <c r="D24" s="25"/>
      <c r="E24" s="25"/>
      <c r="F24" s="25"/>
      <c r="G24" s="25"/>
      <c r="H24" s="25"/>
      <c r="I24" s="25" t="s">
        <v>114</v>
      </c>
      <c r="J24" s="25" t="s">
        <v>81</v>
      </c>
    </row>
    <row r="25" spans="1:10" x14ac:dyDescent="0.25">
      <c r="A25" s="25">
        <v>24</v>
      </c>
      <c r="B25" s="23" t="s">
        <v>135</v>
      </c>
      <c r="C25" s="23" t="s">
        <v>234</v>
      </c>
      <c r="D25" s="25"/>
      <c r="E25" s="25"/>
      <c r="F25" s="25"/>
      <c r="G25" s="25"/>
      <c r="H25" s="25"/>
      <c r="I25" s="25" t="s">
        <v>115</v>
      </c>
      <c r="J25" s="25" t="s">
        <v>81</v>
      </c>
    </row>
    <row r="26" spans="1:10" x14ac:dyDescent="0.25">
      <c r="H26" s="5"/>
    </row>
    <row r="27" spans="1:10" x14ac:dyDescent="0.25">
      <c r="H27" s="5"/>
    </row>
    <row r="28" spans="1:10" x14ac:dyDescent="0.25">
      <c r="H28" s="5"/>
    </row>
    <row r="29" spans="1:10" x14ac:dyDescent="0.25">
      <c r="H29" s="5"/>
    </row>
    <row r="30" spans="1:10" x14ac:dyDescent="0.25">
      <c r="H30" s="5"/>
    </row>
    <row r="31" spans="1:10" x14ac:dyDescent="0.25">
      <c r="H31" s="5"/>
    </row>
    <row r="32" spans="1:10" x14ac:dyDescent="0.25">
      <c r="H32" s="5"/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  <row r="41" spans="8:8" x14ac:dyDescent="0.25">
      <c r="H41" s="5"/>
    </row>
    <row r="42" spans="8:8" x14ac:dyDescent="0.25">
      <c r="H42" s="5"/>
    </row>
  </sheetData>
  <dataValidations count="5">
    <dataValidation type="list" allowBlank="1" showInputMessage="1" showErrorMessage="1" sqref="D26:D1048576">
      <formula1>#REF!</formula1>
    </dataValidation>
    <dataValidation type="list" allowBlank="1" showInputMessage="1" showErrorMessage="1" sqref="G1:G1048576">
      <formula1>$N$2:$N$4</formula1>
    </dataValidation>
    <dataValidation type="list" allowBlank="1" showInputMessage="1" showErrorMessage="1" sqref="F1:F1048576">
      <formula1>$M$2:$M$4</formula1>
    </dataValidation>
    <dataValidation type="list" allowBlank="1" showInputMessage="1" showErrorMessage="1" sqref="E1:E1048576">
      <formula1>$L$2:$L$4</formula1>
    </dataValidation>
    <dataValidation type="list" allowBlank="1" showInputMessage="1" showErrorMessage="1" sqref="H1:H1048576">
      <formula1>$O$2:$O$4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workbookViewId="0">
      <selection sqref="A1:A18"/>
    </sheetView>
  </sheetViews>
  <sheetFormatPr defaultRowHeight="15" x14ac:dyDescent="0.25"/>
  <cols>
    <col min="1" max="1" width="18.42578125" customWidth="1"/>
    <col min="2" max="2" width="35.5703125" customWidth="1"/>
    <col min="3" max="3" width="24" customWidth="1"/>
    <col min="4" max="4" width="16" customWidth="1"/>
  </cols>
  <sheetData>
    <row r="1" spans="1:4" ht="15.75" thickBot="1" x14ac:dyDescent="0.3">
      <c r="A1" s="9" t="s">
        <v>266</v>
      </c>
      <c r="B1" s="9" t="s">
        <v>352</v>
      </c>
      <c r="C1" s="9"/>
      <c r="D1" s="17" t="s">
        <v>284</v>
      </c>
    </row>
    <row r="2" spans="1:4" ht="15.75" thickBot="1" x14ac:dyDescent="0.3">
      <c r="A2" s="9" t="s">
        <v>267</v>
      </c>
      <c r="B2" s="9" t="s">
        <v>353</v>
      </c>
      <c r="C2" s="9"/>
      <c r="D2" s="17" t="s">
        <v>284</v>
      </c>
    </row>
    <row r="3" spans="1:4" ht="15.75" thickBot="1" x14ac:dyDescent="0.3">
      <c r="A3" s="9" t="s">
        <v>268</v>
      </c>
      <c r="B3" s="9" t="s">
        <v>354</v>
      </c>
      <c r="C3" s="9"/>
      <c r="D3" s="17" t="s">
        <v>284</v>
      </c>
    </row>
    <row r="4" spans="1:4" ht="15.75" thickBot="1" x14ac:dyDescent="0.3">
      <c r="A4" s="9" t="s">
        <v>269</v>
      </c>
      <c r="B4" s="9" t="s">
        <v>355</v>
      </c>
      <c r="C4" s="9"/>
      <c r="D4" s="17" t="s">
        <v>284</v>
      </c>
    </row>
    <row r="5" spans="1:4" ht="15.75" thickBot="1" x14ac:dyDescent="0.3">
      <c r="A5" s="9" t="s">
        <v>270</v>
      </c>
      <c r="B5" s="9" t="s">
        <v>356</v>
      </c>
      <c r="C5" s="9"/>
      <c r="D5" s="17" t="s">
        <v>284</v>
      </c>
    </row>
    <row r="6" spans="1:4" ht="15.75" thickBot="1" x14ac:dyDescent="0.3">
      <c r="A6" s="9" t="s">
        <v>271</v>
      </c>
      <c r="B6" s="9" t="s">
        <v>357</v>
      </c>
      <c r="C6" s="9"/>
      <c r="D6" s="17" t="s">
        <v>284</v>
      </c>
    </row>
    <row r="7" spans="1:4" ht="15.75" thickBot="1" x14ac:dyDescent="0.3">
      <c r="A7" s="9" t="s">
        <v>272</v>
      </c>
      <c r="B7" s="9" t="s">
        <v>358</v>
      </c>
      <c r="C7" s="9"/>
      <c r="D7" s="17" t="s">
        <v>284</v>
      </c>
    </row>
    <row r="8" spans="1:4" ht="15.75" thickBot="1" x14ac:dyDescent="0.3">
      <c r="A8" s="9" t="s">
        <v>273</v>
      </c>
      <c r="B8" s="9" t="s">
        <v>359</v>
      </c>
      <c r="C8" s="9"/>
      <c r="D8" s="17" t="s">
        <v>284</v>
      </c>
    </row>
    <row r="9" spans="1:4" ht="15.75" thickBot="1" x14ac:dyDescent="0.3">
      <c r="A9" s="9" t="s">
        <v>274</v>
      </c>
      <c r="B9" s="9" t="s">
        <v>360</v>
      </c>
      <c r="C9" s="9"/>
      <c r="D9" s="17" t="s">
        <v>284</v>
      </c>
    </row>
    <row r="10" spans="1:4" ht="15.75" thickBot="1" x14ac:dyDescent="0.3">
      <c r="A10" s="9" t="s">
        <v>275</v>
      </c>
      <c r="B10" s="9" t="s">
        <v>361</v>
      </c>
      <c r="C10" s="9"/>
      <c r="D10" s="17" t="s">
        <v>284</v>
      </c>
    </row>
    <row r="11" spans="1:4" ht="15.75" thickBot="1" x14ac:dyDescent="0.3">
      <c r="A11" s="9" t="s">
        <v>276</v>
      </c>
      <c r="B11" s="9" t="s">
        <v>362</v>
      </c>
      <c r="C11" s="9"/>
      <c r="D11" s="17" t="s">
        <v>284</v>
      </c>
    </row>
    <row r="12" spans="1:4" ht="15.75" thickBot="1" x14ac:dyDescent="0.3">
      <c r="A12" s="9" t="s">
        <v>277</v>
      </c>
      <c r="B12" s="9" t="s">
        <v>363</v>
      </c>
      <c r="C12" s="9"/>
      <c r="D12" s="17" t="s">
        <v>284</v>
      </c>
    </row>
    <row r="13" spans="1:4" ht="15.75" thickBot="1" x14ac:dyDescent="0.3">
      <c r="A13" s="9" t="s">
        <v>278</v>
      </c>
      <c r="B13" s="9" t="s">
        <v>364</v>
      </c>
      <c r="C13" s="9"/>
      <c r="D13" s="17" t="s">
        <v>284</v>
      </c>
    </row>
    <row r="14" spans="1:4" ht="15.75" thickBot="1" x14ac:dyDescent="0.3">
      <c r="A14" s="9" t="s">
        <v>279</v>
      </c>
      <c r="B14" s="9" t="s">
        <v>365</v>
      </c>
      <c r="C14" s="9"/>
      <c r="D14" s="17" t="s">
        <v>284</v>
      </c>
    </row>
    <row r="15" spans="1:4" ht="15.75" thickBot="1" x14ac:dyDescent="0.3">
      <c r="A15" s="9" t="s">
        <v>280</v>
      </c>
      <c r="B15" s="9" t="s">
        <v>366</v>
      </c>
      <c r="C15" s="9"/>
      <c r="D15" s="17" t="s">
        <v>284</v>
      </c>
    </row>
    <row r="16" spans="1:4" ht="15.75" thickBot="1" x14ac:dyDescent="0.3">
      <c r="A16" s="9" t="s">
        <v>281</v>
      </c>
      <c r="B16" s="9" t="s">
        <v>367</v>
      </c>
      <c r="C16" s="9"/>
      <c r="D16" s="17" t="s">
        <v>284</v>
      </c>
    </row>
    <row r="17" spans="1:4" ht="15.75" thickBot="1" x14ac:dyDescent="0.3">
      <c r="A17" s="9" t="s">
        <v>282</v>
      </c>
      <c r="B17" s="9" t="s">
        <v>368</v>
      </c>
      <c r="C17" s="9"/>
      <c r="D17" s="17" t="s">
        <v>284</v>
      </c>
    </row>
    <row r="18" spans="1:4" ht="15.75" thickBot="1" x14ac:dyDescent="0.3">
      <c r="A18" s="9" t="s">
        <v>283</v>
      </c>
      <c r="B18" s="9" t="s">
        <v>369</v>
      </c>
      <c r="C18" s="9"/>
      <c r="D18" s="17" t="s">
        <v>284</v>
      </c>
    </row>
    <row r="19" spans="1:4" ht="15.75" thickBot="1" x14ac:dyDescent="0.3">
      <c r="A19" s="18" t="s">
        <v>286</v>
      </c>
      <c r="B19" s="4" t="s">
        <v>370</v>
      </c>
      <c r="C19" s="4"/>
      <c r="D19" s="17" t="s">
        <v>285</v>
      </c>
    </row>
    <row r="20" spans="1:4" ht="15.75" thickBot="1" x14ac:dyDescent="0.3">
      <c r="A20" s="18" t="s">
        <v>287</v>
      </c>
      <c r="B20" s="4" t="s">
        <v>371</v>
      </c>
      <c r="C20" s="4"/>
      <c r="D20" s="17" t="s">
        <v>285</v>
      </c>
    </row>
    <row r="21" spans="1:4" ht="15.75" thickBot="1" x14ac:dyDescent="0.3">
      <c r="A21" s="18" t="s">
        <v>294</v>
      </c>
      <c r="B21" s="4" t="s">
        <v>372</v>
      </c>
      <c r="C21" s="4"/>
      <c r="D21" s="17" t="s">
        <v>285</v>
      </c>
    </row>
    <row r="22" spans="1:4" ht="15.75" thickBot="1" x14ac:dyDescent="0.3">
      <c r="A22" s="18" t="s">
        <v>295</v>
      </c>
      <c r="B22" s="4" t="s">
        <v>373</v>
      </c>
      <c r="C22" s="4"/>
      <c r="D22" s="17" t="s">
        <v>285</v>
      </c>
    </row>
    <row r="23" spans="1:4" ht="15.75" thickBot="1" x14ac:dyDescent="0.3">
      <c r="A23" s="18" t="s">
        <v>296</v>
      </c>
      <c r="B23" s="4" t="s">
        <v>374</v>
      </c>
      <c r="C23" s="4"/>
      <c r="D23" s="17" t="s">
        <v>285</v>
      </c>
    </row>
    <row r="24" spans="1:4" ht="15.75" thickBot="1" x14ac:dyDescent="0.3">
      <c r="A24" s="18" t="s">
        <v>297</v>
      </c>
      <c r="B24" s="4" t="s">
        <v>375</v>
      </c>
      <c r="C24" s="4"/>
      <c r="D24" s="17" t="s">
        <v>285</v>
      </c>
    </row>
    <row r="25" spans="1:4" ht="15.75" thickBot="1" x14ac:dyDescent="0.3">
      <c r="A25" s="18" t="s">
        <v>288</v>
      </c>
      <c r="B25" s="4" t="s">
        <v>376</v>
      </c>
      <c r="C25" s="4"/>
      <c r="D25" s="17" t="s">
        <v>285</v>
      </c>
    </row>
    <row r="26" spans="1:4" ht="15.75" thickBot="1" x14ac:dyDescent="0.3">
      <c r="A26" s="18" t="s">
        <v>289</v>
      </c>
      <c r="B26" s="4" t="s">
        <v>377</v>
      </c>
      <c r="C26" s="4"/>
      <c r="D26" s="17" t="s">
        <v>285</v>
      </c>
    </row>
    <row r="27" spans="1:4" ht="15.75" thickBot="1" x14ac:dyDescent="0.3">
      <c r="A27" s="18" t="s">
        <v>290</v>
      </c>
      <c r="B27" s="4" t="s">
        <v>378</v>
      </c>
      <c r="C27" s="4"/>
      <c r="D27" s="17" t="s">
        <v>285</v>
      </c>
    </row>
    <row r="28" spans="1:4" ht="15.75" thickBot="1" x14ac:dyDescent="0.3">
      <c r="A28" s="18" t="s">
        <v>291</v>
      </c>
      <c r="B28" s="4" t="s">
        <v>379</v>
      </c>
      <c r="C28" s="4"/>
      <c r="D28" s="17" t="s">
        <v>285</v>
      </c>
    </row>
    <row r="29" spans="1:4" ht="15.75" thickBot="1" x14ac:dyDescent="0.3">
      <c r="A29" s="18" t="s">
        <v>298</v>
      </c>
      <c r="B29" s="4" t="s">
        <v>380</v>
      </c>
      <c r="C29" s="4"/>
      <c r="D29" s="17" t="s">
        <v>285</v>
      </c>
    </row>
    <row r="30" spans="1:4" ht="15.75" thickBot="1" x14ac:dyDescent="0.3">
      <c r="A30" s="18" t="s">
        <v>292</v>
      </c>
      <c r="B30" s="4" t="s">
        <v>381</v>
      </c>
      <c r="C30" s="4"/>
      <c r="D30" s="17" t="s">
        <v>285</v>
      </c>
    </row>
    <row r="31" spans="1:4" ht="15.75" thickBot="1" x14ac:dyDescent="0.3">
      <c r="A31" s="18" t="s">
        <v>299</v>
      </c>
      <c r="B31" s="4" t="s">
        <v>382</v>
      </c>
      <c r="C31" s="4"/>
      <c r="D31" s="17" t="s">
        <v>285</v>
      </c>
    </row>
    <row r="32" spans="1:4" ht="15.75" thickBot="1" x14ac:dyDescent="0.3">
      <c r="A32" s="18" t="s">
        <v>293</v>
      </c>
      <c r="B32" s="4" t="s">
        <v>383</v>
      </c>
      <c r="C32" s="4"/>
      <c r="D32" s="17" t="s">
        <v>285</v>
      </c>
    </row>
    <row r="33" spans="1:4" ht="15.75" thickBot="1" x14ac:dyDescent="0.3">
      <c r="A33" s="18" t="s">
        <v>300</v>
      </c>
      <c r="B33" s="3" t="s">
        <v>384</v>
      </c>
      <c r="C33" s="3"/>
      <c r="D33" s="17" t="s">
        <v>285</v>
      </c>
    </row>
    <row r="34" spans="1:4" ht="15.75" thickBot="1" x14ac:dyDescent="0.3">
      <c r="A34" s="18" t="s">
        <v>301</v>
      </c>
      <c r="B34" s="3" t="s">
        <v>385</v>
      </c>
      <c r="C34" s="3"/>
      <c r="D34" s="17" t="s">
        <v>285</v>
      </c>
    </row>
    <row r="35" spans="1:4" ht="15.75" thickBot="1" x14ac:dyDescent="0.3">
      <c r="A35" s="18" t="s">
        <v>302</v>
      </c>
      <c r="B35" s="3" t="s">
        <v>386</v>
      </c>
      <c r="C35" s="3"/>
      <c r="D35" s="17" t="s">
        <v>285</v>
      </c>
    </row>
    <row r="36" spans="1:4" ht="15.75" thickBot="1" x14ac:dyDescent="0.3">
      <c r="A36" s="18" t="s">
        <v>304</v>
      </c>
      <c r="B36" s="4" t="s">
        <v>387</v>
      </c>
      <c r="C36" s="8"/>
      <c r="D36" s="17" t="s">
        <v>303</v>
      </c>
    </row>
    <row r="37" spans="1:4" ht="15.75" thickBot="1" x14ac:dyDescent="0.3">
      <c r="A37" s="18" t="s">
        <v>305</v>
      </c>
      <c r="B37" s="4" t="s">
        <v>388</v>
      </c>
      <c r="C37" s="8"/>
      <c r="D37" s="17" t="s">
        <v>303</v>
      </c>
    </row>
    <row r="38" spans="1:4" ht="15.75" thickBot="1" x14ac:dyDescent="0.3">
      <c r="A38" s="18" t="s">
        <v>306</v>
      </c>
      <c r="B38" s="4" t="s">
        <v>389</v>
      </c>
      <c r="C38" s="8"/>
      <c r="D38" s="17" t="s">
        <v>303</v>
      </c>
    </row>
    <row r="39" spans="1:4" ht="15.75" thickBot="1" x14ac:dyDescent="0.3">
      <c r="A39" s="18" t="s">
        <v>310</v>
      </c>
      <c r="B39" s="4" t="s">
        <v>390</v>
      </c>
      <c r="C39" s="8"/>
      <c r="D39" s="17" t="s">
        <v>303</v>
      </c>
    </row>
    <row r="40" spans="1:4" ht="15.75" thickBot="1" x14ac:dyDescent="0.3">
      <c r="A40" s="18" t="s">
        <v>311</v>
      </c>
      <c r="B40" s="4" t="s">
        <v>391</v>
      </c>
      <c r="C40" s="8"/>
      <c r="D40" s="17" t="s">
        <v>303</v>
      </c>
    </row>
    <row r="41" spans="1:4" ht="15.75" thickBot="1" x14ac:dyDescent="0.3">
      <c r="A41" s="18" t="s">
        <v>312</v>
      </c>
      <c r="B41" s="4" t="s">
        <v>392</v>
      </c>
      <c r="C41" s="8"/>
      <c r="D41" s="17" t="s">
        <v>303</v>
      </c>
    </row>
    <row r="42" spans="1:4" ht="15.75" thickBot="1" x14ac:dyDescent="0.3">
      <c r="A42" s="19" t="s">
        <v>313</v>
      </c>
      <c r="B42" s="4" t="s">
        <v>393</v>
      </c>
      <c r="C42" s="8"/>
      <c r="D42" s="17" t="s">
        <v>303</v>
      </c>
    </row>
    <row r="43" spans="1:4" ht="15.75" thickBot="1" x14ac:dyDescent="0.3">
      <c r="A43" s="19" t="s">
        <v>314</v>
      </c>
      <c r="B43" s="4" t="s">
        <v>394</v>
      </c>
      <c r="C43" s="8"/>
      <c r="D43" s="17" t="s">
        <v>303</v>
      </c>
    </row>
    <row r="44" spans="1:4" ht="15.75" thickBot="1" x14ac:dyDescent="0.3">
      <c r="A44" s="19" t="s">
        <v>315</v>
      </c>
      <c r="B44" s="4" t="s">
        <v>395</v>
      </c>
      <c r="C44" s="8"/>
      <c r="D44" s="17" t="s">
        <v>303</v>
      </c>
    </row>
    <row r="45" spans="1:4" ht="15.75" thickBot="1" x14ac:dyDescent="0.3">
      <c r="A45" s="19" t="s">
        <v>326</v>
      </c>
      <c r="B45" s="4" t="s">
        <v>396</v>
      </c>
      <c r="C45" s="8"/>
      <c r="D45" s="17" t="s">
        <v>303</v>
      </c>
    </row>
    <row r="46" spans="1:4" ht="15.75" thickBot="1" x14ac:dyDescent="0.3">
      <c r="A46" s="19" t="s">
        <v>316</v>
      </c>
      <c r="B46" s="4" t="s">
        <v>397</v>
      </c>
      <c r="C46" s="8"/>
      <c r="D46" s="17" t="s">
        <v>303</v>
      </c>
    </row>
    <row r="47" spans="1:4" ht="15.75" thickBot="1" x14ac:dyDescent="0.3">
      <c r="A47" s="19" t="s">
        <v>307</v>
      </c>
      <c r="B47" s="4" t="s">
        <v>398</v>
      </c>
      <c r="C47" s="8"/>
      <c r="D47" s="17" t="s">
        <v>303</v>
      </c>
    </row>
    <row r="48" spans="1:4" ht="15.75" thickBot="1" x14ac:dyDescent="0.3">
      <c r="A48" s="19" t="s">
        <v>317</v>
      </c>
      <c r="B48" s="4" t="s">
        <v>399</v>
      </c>
      <c r="C48" s="8"/>
      <c r="D48" s="17" t="s">
        <v>303</v>
      </c>
    </row>
    <row r="49" spans="1:4" ht="15.75" thickBot="1" x14ac:dyDescent="0.3">
      <c r="A49" s="19" t="s">
        <v>318</v>
      </c>
      <c r="B49" s="4" t="s">
        <v>400</v>
      </c>
      <c r="C49" s="8"/>
      <c r="D49" s="17" t="s">
        <v>303</v>
      </c>
    </row>
    <row r="50" spans="1:4" ht="15.75" thickBot="1" x14ac:dyDescent="0.3">
      <c r="A50" s="19" t="s">
        <v>319</v>
      </c>
      <c r="B50" s="3" t="s">
        <v>401</v>
      </c>
      <c r="C50" s="8"/>
      <c r="D50" s="17" t="s">
        <v>303</v>
      </c>
    </row>
    <row r="51" spans="1:4" ht="15.75" thickBot="1" x14ac:dyDescent="0.3">
      <c r="A51" s="19" t="s">
        <v>325</v>
      </c>
      <c r="B51" s="3" t="s">
        <v>402</v>
      </c>
      <c r="C51" s="8"/>
      <c r="D51" s="17" t="s">
        <v>303</v>
      </c>
    </row>
    <row r="52" spans="1:4" ht="15.75" thickBot="1" x14ac:dyDescent="0.3">
      <c r="A52" s="19" t="s">
        <v>320</v>
      </c>
      <c r="B52" s="3" t="s">
        <v>403</v>
      </c>
      <c r="C52" s="8"/>
      <c r="D52" s="17" t="s">
        <v>303</v>
      </c>
    </row>
    <row r="53" spans="1:4" ht="15.75" thickBot="1" x14ac:dyDescent="0.3">
      <c r="A53" s="19" t="s">
        <v>321</v>
      </c>
      <c r="B53" s="3" t="s">
        <v>404</v>
      </c>
      <c r="C53" s="8"/>
      <c r="D53" s="17" t="s">
        <v>303</v>
      </c>
    </row>
    <row r="54" spans="1:4" ht="15.75" thickBot="1" x14ac:dyDescent="0.3">
      <c r="A54" s="19" t="s">
        <v>322</v>
      </c>
      <c r="B54" s="3" t="s">
        <v>405</v>
      </c>
      <c r="C54" s="8"/>
      <c r="D54" s="17" t="s">
        <v>303</v>
      </c>
    </row>
    <row r="55" spans="1:4" ht="15.75" thickBot="1" x14ac:dyDescent="0.3">
      <c r="A55" s="19" t="s">
        <v>323</v>
      </c>
      <c r="B55" s="3" t="s">
        <v>406</v>
      </c>
      <c r="C55" s="8"/>
      <c r="D55" s="17" t="s">
        <v>303</v>
      </c>
    </row>
    <row r="56" spans="1:4" ht="15.75" thickBot="1" x14ac:dyDescent="0.3">
      <c r="A56" s="19" t="s">
        <v>308</v>
      </c>
      <c r="B56" s="3" t="s">
        <v>407</v>
      </c>
      <c r="C56" s="8"/>
      <c r="D56" s="17" t="s">
        <v>303</v>
      </c>
    </row>
    <row r="57" spans="1:4" ht="15.75" thickBot="1" x14ac:dyDescent="0.3">
      <c r="A57" s="19" t="s">
        <v>309</v>
      </c>
      <c r="B57" s="3" t="s">
        <v>408</v>
      </c>
      <c r="C57" s="8"/>
      <c r="D57" s="17" t="s">
        <v>303</v>
      </c>
    </row>
    <row r="58" spans="1:4" ht="15.75" thickBot="1" x14ac:dyDescent="0.3">
      <c r="A58" s="19" t="s">
        <v>324</v>
      </c>
      <c r="B58" s="3" t="s">
        <v>409</v>
      </c>
      <c r="C58" s="8"/>
      <c r="D58" s="17" t="s">
        <v>303</v>
      </c>
    </row>
    <row r="59" spans="1:4" ht="15.75" thickBot="1" x14ac:dyDescent="0.3">
      <c r="A59" s="19" t="s">
        <v>328</v>
      </c>
      <c r="B59" s="9" t="s">
        <v>410</v>
      </c>
      <c r="C59" s="9"/>
      <c r="D59" s="17" t="s">
        <v>327</v>
      </c>
    </row>
    <row r="60" spans="1:4" ht="15.75" thickBot="1" x14ac:dyDescent="0.3">
      <c r="A60" s="19" t="s">
        <v>329</v>
      </c>
      <c r="B60" s="9" t="s">
        <v>411</v>
      </c>
      <c r="C60" s="9"/>
      <c r="D60" s="17" t="s">
        <v>327</v>
      </c>
    </row>
    <row r="61" spans="1:4" ht="15.75" thickBot="1" x14ac:dyDescent="0.3">
      <c r="A61" s="19" t="s">
        <v>330</v>
      </c>
      <c r="B61" s="9" t="s">
        <v>412</v>
      </c>
      <c r="C61" s="9"/>
      <c r="D61" s="17" t="s">
        <v>327</v>
      </c>
    </row>
    <row r="62" spans="1:4" ht="15.75" thickBot="1" x14ac:dyDescent="0.3">
      <c r="A62" s="19" t="s">
        <v>331</v>
      </c>
      <c r="B62" s="9" t="s">
        <v>413</v>
      </c>
      <c r="C62" s="9"/>
      <c r="D62" s="17" t="s">
        <v>327</v>
      </c>
    </row>
    <row r="63" spans="1:4" ht="15.75" thickBot="1" x14ac:dyDescent="0.3">
      <c r="A63" s="19" t="s">
        <v>332</v>
      </c>
      <c r="B63" s="9" t="s">
        <v>414</v>
      </c>
      <c r="C63" s="9"/>
      <c r="D63" s="17" t="s">
        <v>327</v>
      </c>
    </row>
    <row r="64" spans="1:4" ht="15.75" thickBot="1" x14ac:dyDescent="0.3">
      <c r="A64" s="19" t="s">
        <v>333</v>
      </c>
      <c r="B64" s="9" t="s">
        <v>415</v>
      </c>
      <c r="C64" s="9"/>
      <c r="D64" s="17" t="s">
        <v>327</v>
      </c>
    </row>
    <row r="65" spans="1:4" ht="15.75" thickBot="1" x14ac:dyDescent="0.3">
      <c r="A65" s="19" t="s">
        <v>334</v>
      </c>
      <c r="B65" s="9" t="s">
        <v>416</v>
      </c>
      <c r="C65" s="9"/>
      <c r="D65" s="17" t="s">
        <v>327</v>
      </c>
    </row>
    <row r="66" spans="1:4" ht="15.75" thickBot="1" x14ac:dyDescent="0.3">
      <c r="A66" s="19" t="s">
        <v>335</v>
      </c>
      <c r="B66" s="9" t="s">
        <v>417</v>
      </c>
      <c r="C66" s="9"/>
      <c r="D66" s="17" t="s">
        <v>327</v>
      </c>
    </row>
    <row r="67" spans="1:4" ht="15.75" thickBot="1" x14ac:dyDescent="0.3">
      <c r="A67" s="19" t="s">
        <v>336</v>
      </c>
      <c r="B67" s="9" t="s">
        <v>418</v>
      </c>
      <c r="C67" s="9"/>
      <c r="D67" s="17" t="s">
        <v>327</v>
      </c>
    </row>
    <row r="68" spans="1:4" ht="15.75" thickBot="1" x14ac:dyDescent="0.3">
      <c r="A68" s="19" t="s">
        <v>337</v>
      </c>
      <c r="B68" s="9" t="s">
        <v>419</v>
      </c>
      <c r="C68" s="9"/>
      <c r="D68" s="17" t="s">
        <v>327</v>
      </c>
    </row>
    <row r="69" spans="1:4" ht="15.75" thickBot="1" x14ac:dyDescent="0.3">
      <c r="A69" s="19" t="s">
        <v>338</v>
      </c>
      <c r="B69" s="9" t="s">
        <v>420</v>
      </c>
      <c r="C69" s="9"/>
      <c r="D69" s="17" t="s">
        <v>327</v>
      </c>
    </row>
    <row r="70" spans="1:4" ht="15.75" thickBot="1" x14ac:dyDescent="0.3">
      <c r="A70" s="19" t="s">
        <v>339</v>
      </c>
      <c r="B70" s="9" t="s">
        <v>421</v>
      </c>
      <c r="C70" s="9"/>
      <c r="D70" s="17" t="s">
        <v>327</v>
      </c>
    </row>
    <row r="71" spans="1:4" ht="15.75" thickBot="1" x14ac:dyDescent="0.3">
      <c r="A71" s="19" t="s">
        <v>340</v>
      </c>
      <c r="B71" s="9" t="s">
        <v>422</v>
      </c>
      <c r="C71" s="9"/>
      <c r="D71" s="17" t="s">
        <v>327</v>
      </c>
    </row>
    <row r="72" spans="1:4" ht="15.75" thickBot="1" x14ac:dyDescent="0.3">
      <c r="A72" s="19" t="s">
        <v>341</v>
      </c>
      <c r="B72" s="9" t="s">
        <v>423</v>
      </c>
      <c r="C72" s="9"/>
      <c r="D72" s="17" t="s">
        <v>327</v>
      </c>
    </row>
    <row r="73" spans="1:4" ht="15.75" thickBot="1" x14ac:dyDescent="0.3">
      <c r="A73" s="19" t="s">
        <v>342</v>
      </c>
      <c r="B73" s="9" t="s">
        <v>424</v>
      </c>
      <c r="C73" s="9"/>
      <c r="D73" s="17" t="s">
        <v>327</v>
      </c>
    </row>
    <row r="74" spans="1:4" ht="15.75" thickBot="1" x14ac:dyDescent="0.3">
      <c r="A74" s="19" t="s">
        <v>343</v>
      </c>
      <c r="B74" s="9" t="s">
        <v>425</v>
      </c>
      <c r="C74" s="9"/>
      <c r="D74" s="17" t="s">
        <v>327</v>
      </c>
    </row>
    <row r="75" spans="1:4" ht="15.75" thickBot="1" x14ac:dyDescent="0.3">
      <c r="A75" s="19" t="s">
        <v>344</v>
      </c>
      <c r="B75" s="9" t="s">
        <v>426</v>
      </c>
      <c r="C75" s="9"/>
      <c r="D75" s="17" t="s">
        <v>327</v>
      </c>
    </row>
    <row r="76" spans="1:4" ht="15.75" thickBot="1" x14ac:dyDescent="0.3">
      <c r="A76" s="19" t="s">
        <v>345</v>
      </c>
      <c r="B76" s="9" t="s">
        <v>427</v>
      </c>
      <c r="C76" s="9"/>
      <c r="D76" s="17" t="s">
        <v>327</v>
      </c>
    </row>
    <row r="77" spans="1:4" ht="15.75" thickBot="1" x14ac:dyDescent="0.3">
      <c r="A77" s="19" t="s">
        <v>346</v>
      </c>
      <c r="B77" s="9" t="s">
        <v>428</v>
      </c>
      <c r="C77" s="9"/>
      <c r="D77" s="17" t="s">
        <v>327</v>
      </c>
    </row>
    <row r="78" spans="1:4" ht="15.75" thickBot="1" x14ac:dyDescent="0.3">
      <c r="A78" s="19" t="s">
        <v>347</v>
      </c>
      <c r="B78" s="9" t="s">
        <v>429</v>
      </c>
      <c r="C78" s="9"/>
      <c r="D78" s="17" t="s">
        <v>327</v>
      </c>
    </row>
    <row r="79" spans="1:4" ht="15.75" thickBot="1" x14ac:dyDescent="0.3">
      <c r="A79" s="19" t="s">
        <v>348</v>
      </c>
      <c r="B79" s="9" t="s">
        <v>430</v>
      </c>
      <c r="C79" s="9"/>
      <c r="D79" s="17" t="s">
        <v>327</v>
      </c>
    </row>
    <row r="80" spans="1:4" ht="15.75" thickBot="1" x14ac:dyDescent="0.3">
      <c r="A80" s="19" t="s">
        <v>349</v>
      </c>
      <c r="B80" s="9" t="s">
        <v>431</v>
      </c>
      <c r="C80" s="9"/>
      <c r="D80" s="17" t="s">
        <v>327</v>
      </c>
    </row>
    <row r="81" spans="1:4" ht="15.75" thickBot="1" x14ac:dyDescent="0.3">
      <c r="A81" s="19" t="s">
        <v>350</v>
      </c>
      <c r="B81" s="9" t="s">
        <v>432</v>
      </c>
      <c r="C81" s="9"/>
      <c r="D81" s="17" t="s">
        <v>327</v>
      </c>
    </row>
    <row r="82" spans="1:4" ht="15.75" thickBot="1" x14ac:dyDescent="0.3">
      <c r="A82" s="19" t="s">
        <v>351</v>
      </c>
      <c r="B82" s="9" t="s">
        <v>433</v>
      </c>
      <c r="C82" s="9"/>
      <c r="D82" s="17" t="s">
        <v>327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selection activeCell="C41" sqref="C41"/>
    </sheetView>
  </sheetViews>
  <sheetFormatPr defaultColWidth="8.7109375" defaultRowHeight="11.25" x14ac:dyDescent="0.2"/>
  <cols>
    <col min="1" max="1" width="6.42578125" style="15" bestFit="1" customWidth="1"/>
    <col min="2" max="2" width="11.28515625" style="15" customWidth="1"/>
    <col min="3" max="3" width="9.28515625" style="15" bestFit="1" customWidth="1"/>
    <col min="4" max="4" width="6.42578125" style="15" bestFit="1" customWidth="1"/>
    <col min="5" max="5" width="15.42578125" style="15" bestFit="1" customWidth="1"/>
    <col min="6" max="6" width="8.85546875" style="15" bestFit="1" customWidth="1"/>
    <col min="7" max="7" width="6.42578125" style="15" bestFit="1" customWidth="1"/>
    <col min="8" max="8" width="14.7109375" style="15" bestFit="1" customWidth="1"/>
    <col min="9" max="9" width="11.140625" style="15" bestFit="1" customWidth="1"/>
    <col min="10" max="10" width="6.42578125" style="15" bestFit="1" customWidth="1"/>
    <col min="11" max="11" width="11.28515625" style="15" bestFit="1" customWidth="1"/>
    <col min="12" max="12" width="9.28515625" style="15" bestFit="1" customWidth="1"/>
    <col min="13" max="16384" width="8.7109375" style="15"/>
  </cols>
  <sheetData>
    <row r="1" spans="1:12" x14ac:dyDescent="0.2">
      <c r="A1" s="10" t="s">
        <v>116</v>
      </c>
      <c r="B1" s="11" t="str">
        <f>'1A'!$K2</f>
        <v>AND_1</v>
      </c>
      <c r="C1" s="20" t="s">
        <v>434</v>
      </c>
      <c r="D1" s="10" t="s">
        <v>116</v>
      </c>
      <c r="E1" s="11" t="str">
        <f>'1B'!$K2</f>
        <v>AND_13</v>
      </c>
      <c r="F1" s="20" t="s">
        <v>435</v>
      </c>
      <c r="G1" s="10" t="s">
        <v>116</v>
      </c>
      <c r="H1" s="11" t="str">
        <f>'2'!$I2</f>
        <v>AND_24</v>
      </c>
      <c r="I1" s="20">
        <v>2</v>
      </c>
      <c r="J1" s="10" t="s">
        <v>116</v>
      </c>
      <c r="K1" s="11" t="str">
        <f>'3'!$I2</f>
        <v>AND_24</v>
      </c>
      <c r="L1" s="20">
        <v>3</v>
      </c>
    </row>
    <row r="2" spans="1:12" x14ac:dyDescent="0.2">
      <c r="A2" s="12" t="s">
        <v>117</v>
      </c>
      <c r="B2" s="13" t="str">
        <f>'1A'!$C2</f>
        <v>BEŠIĆ</v>
      </c>
      <c r="C2" s="14" t="str">
        <f>'1A'!$B2</f>
        <v>AZER</v>
      </c>
      <c r="D2" s="12" t="s">
        <v>117</v>
      </c>
      <c r="E2" s="13" t="str">
        <f>'1B'!$C2</f>
        <v>BERC</v>
      </c>
      <c r="F2" s="14" t="str">
        <f>'1B'!$B2</f>
        <v>ADRIJANA</v>
      </c>
      <c r="G2" s="12" t="s">
        <v>117</v>
      </c>
      <c r="H2" s="13" t="str">
        <f>'2'!$C2</f>
        <v>BRADVICA</v>
      </c>
      <c r="I2" s="14" t="str">
        <f>'2'!$B2</f>
        <v xml:space="preserve">JANA </v>
      </c>
      <c r="J2" s="12" t="s">
        <v>117</v>
      </c>
      <c r="K2" s="13" t="str">
        <f>'3'!$C2</f>
        <v>BUČKAL</v>
      </c>
      <c r="L2" s="14" t="str">
        <f>'3'!$B2</f>
        <v>ANTONIJA</v>
      </c>
    </row>
    <row r="3" spans="1:12" x14ac:dyDescent="0.2">
      <c r="A3" s="10" t="s">
        <v>116</v>
      </c>
      <c r="B3" s="11" t="str">
        <f>'1A'!$K3</f>
        <v>AND_2</v>
      </c>
      <c r="C3" s="20" t="s">
        <v>434</v>
      </c>
      <c r="D3" s="10" t="s">
        <v>116</v>
      </c>
      <c r="E3" s="11" t="str">
        <f>'1B'!$K3</f>
        <v>AND_14</v>
      </c>
      <c r="F3" s="20" t="s">
        <v>435</v>
      </c>
      <c r="G3" s="10" t="s">
        <v>116</v>
      </c>
      <c r="H3" s="11" t="str">
        <f>'2'!$I3</f>
        <v>AND_25</v>
      </c>
      <c r="I3" s="20">
        <v>2</v>
      </c>
      <c r="J3" s="10" t="s">
        <v>116</v>
      </c>
      <c r="K3" s="11" t="str">
        <f>'3'!$I3</f>
        <v>AND_25</v>
      </c>
      <c r="L3" s="20">
        <v>3</v>
      </c>
    </row>
    <row r="4" spans="1:12" x14ac:dyDescent="0.2">
      <c r="A4" s="12" t="s">
        <v>117</v>
      </c>
      <c r="B4" s="13" t="str">
        <f>'1A'!$C3</f>
        <v>BUKAL</v>
      </c>
      <c r="C4" s="14" t="str">
        <f>'1A'!$B3</f>
        <v>DORA</v>
      </c>
      <c r="D4" s="12" t="s">
        <v>117</v>
      </c>
      <c r="E4" s="13" t="str">
        <f>'1B'!$C3</f>
        <v xml:space="preserve">BILOGLAV </v>
      </c>
      <c r="F4" s="14" t="str">
        <f>'1B'!$B3</f>
        <v>ANDRIJA</v>
      </c>
      <c r="G4" s="12" t="s">
        <v>117</v>
      </c>
      <c r="H4" s="13" t="str">
        <f>'2'!$C3</f>
        <v>BRTAN</v>
      </c>
      <c r="I4" s="14" t="str">
        <f>'2'!$B3</f>
        <v xml:space="preserve">TIA </v>
      </c>
      <c r="J4" s="12" t="s">
        <v>117</v>
      </c>
      <c r="K4" s="13" t="str">
        <f>'3'!$C3</f>
        <v>DOMANČIĆ</v>
      </c>
      <c r="L4" s="14" t="str">
        <f>'3'!$B3</f>
        <v>LORENA</v>
      </c>
    </row>
    <row r="5" spans="1:12" x14ac:dyDescent="0.2">
      <c r="A5" s="10" t="s">
        <v>116</v>
      </c>
      <c r="B5" s="11" t="str">
        <f>'1A'!$K4</f>
        <v>AND_3</v>
      </c>
      <c r="C5" s="20" t="s">
        <v>434</v>
      </c>
      <c r="D5" s="10" t="s">
        <v>116</v>
      </c>
      <c r="E5" s="11" t="str">
        <f>'1B'!$K4</f>
        <v>AND_15</v>
      </c>
      <c r="F5" s="20" t="s">
        <v>435</v>
      </c>
      <c r="G5" s="10" t="s">
        <v>116</v>
      </c>
      <c r="H5" s="11" t="str">
        <f>'2'!$I4</f>
        <v>AND_26</v>
      </c>
      <c r="I5" s="20">
        <v>2</v>
      </c>
      <c r="J5" s="10" t="s">
        <v>116</v>
      </c>
      <c r="K5" s="11" t="str">
        <f>'3'!$I4</f>
        <v>AND_26</v>
      </c>
      <c r="L5" s="20">
        <v>3</v>
      </c>
    </row>
    <row r="6" spans="1:12" x14ac:dyDescent="0.2">
      <c r="A6" s="12" t="s">
        <v>117</v>
      </c>
      <c r="B6" s="13" t="str">
        <f>'1A'!$C4</f>
        <v>CIKAČ</v>
      </c>
      <c r="C6" s="14" t="str">
        <f>'1A'!$B4</f>
        <v>GABRIELA</v>
      </c>
      <c r="D6" s="12" t="s">
        <v>117</v>
      </c>
      <c r="E6" s="13" t="str">
        <f>'1B'!$C4</f>
        <v xml:space="preserve">ĐURIK </v>
      </c>
      <c r="F6" s="14" t="str">
        <f>'1B'!$B4</f>
        <v>LUKA</v>
      </c>
      <c r="G6" s="12" t="s">
        <v>117</v>
      </c>
      <c r="H6" s="13" t="str">
        <f>'2'!$C4</f>
        <v>BUKOVAC</v>
      </c>
      <c r="I6" s="14" t="str">
        <f>'2'!$B4</f>
        <v xml:space="preserve">TENA </v>
      </c>
      <c r="J6" s="12" t="s">
        <v>117</v>
      </c>
      <c r="K6" s="13" t="str">
        <f>'3'!$C4</f>
        <v>DVOJKOVIĆ</v>
      </c>
      <c r="L6" s="14" t="str">
        <f>'3'!$B4</f>
        <v>LEA</v>
      </c>
    </row>
    <row r="7" spans="1:12" x14ac:dyDescent="0.2">
      <c r="A7" s="10" t="s">
        <v>116</v>
      </c>
      <c r="B7" s="11" t="str">
        <f>'1A'!$K5</f>
        <v>AND_4</v>
      </c>
      <c r="C7" s="20" t="s">
        <v>434</v>
      </c>
      <c r="D7" s="10" t="s">
        <v>116</v>
      </c>
      <c r="E7" s="11" t="str">
        <f>'1B'!$K5</f>
        <v>AND_16</v>
      </c>
      <c r="F7" s="20" t="s">
        <v>435</v>
      </c>
      <c r="G7" s="10" t="s">
        <v>116</v>
      </c>
      <c r="H7" s="11" t="str">
        <f>'2'!$I5</f>
        <v>AND_27</v>
      </c>
      <c r="I7" s="20">
        <v>2</v>
      </c>
      <c r="J7" s="10" t="s">
        <v>116</v>
      </c>
      <c r="K7" s="11" t="str">
        <f>'3'!$I5</f>
        <v>AND_27</v>
      </c>
      <c r="L7" s="20">
        <v>3</v>
      </c>
    </row>
    <row r="8" spans="1:12" x14ac:dyDescent="0.2">
      <c r="A8" s="12" t="s">
        <v>117</v>
      </c>
      <c r="B8" s="13" t="str">
        <f>'1A'!$C5</f>
        <v>DOBRILOVIĆ</v>
      </c>
      <c r="C8" s="14" t="str">
        <f>'1A'!$B5</f>
        <v>LANA</v>
      </c>
      <c r="D8" s="12" t="s">
        <v>117</v>
      </c>
      <c r="E8" s="13" t="str">
        <f>'1B'!$C5</f>
        <v xml:space="preserve">GLAVINIĆ </v>
      </c>
      <c r="F8" s="14" t="str">
        <f>'1B'!$B5</f>
        <v>EVA</v>
      </c>
      <c r="G8" s="12" t="s">
        <v>117</v>
      </c>
      <c r="H8" s="13" t="str">
        <f>'2'!$C5</f>
        <v>ČAJSA</v>
      </c>
      <c r="I8" s="14" t="str">
        <f>'2'!$B5</f>
        <v xml:space="preserve">EMANUEL </v>
      </c>
      <c r="J8" s="12" t="s">
        <v>117</v>
      </c>
      <c r="K8" s="13" t="str">
        <f>'3'!$C5</f>
        <v>FERDEBAR</v>
      </c>
      <c r="L8" s="14" t="str">
        <f>'3'!$B5</f>
        <v>TONKA</v>
      </c>
    </row>
    <row r="9" spans="1:12" x14ac:dyDescent="0.2">
      <c r="A9" s="10" t="s">
        <v>116</v>
      </c>
      <c r="B9" s="11" t="str">
        <f>'1A'!$K6</f>
        <v>AND_5</v>
      </c>
      <c r="C9" s="20" t="s">
        <v>434</v>
      </c>
      <c r="D9" s="10" t="s">
        <v>116</v>
      </c>
      <c r="E9" s="11" t="str">
        <f>'1B'!$K6</f>
        <v>AND_17</v>
      </c>
      <c r="F9" s="20" t="s">
        <v>435</v>
      </c>
      <c r="G9" s="10" t="s">
        <v>116</v>
      </c>
      <c r="H9" s="11" t="str">
        <f>'2'!$I6</f>
        <v>AND_28</v>
      </c>
      <c r="I9" s="20">
        <v>2</v>
      </c>
      <c r="J9" s="10" t="s">
        <v>116</v>
      </c>
      <c r="K9" s="11" t="str">
        <f>'3'!$I6</f>
        <v>AND_28</v>
      </c>
      <c r="L9" s="20">
        <v>3</v>
      </c>
    </row>
    <row r="10" spans="1:12" x14ac:dyDescent="0.2">
      <c r="A10" s="12" t="s">
        <v>117</v>
      </c>
      <c r="B10" s="13" t="str">
        <f>'1A'!$C6</f>
        <v>DŽAKULA</v>
      </c>
      <c r="C10" s="14" t="str">
        <f>'1A'!$B6</f>
        <v>ANJA</v>
      </c>
      <c r="D10" s="12" t="s">
        <v>117</v>
      </c>
      <c r="E10" s="13" t="str">
        <f>'1B'!$C6</f>
        <v xml:space="preserve">HADŽIĆ </v>
      </c>
      <c r="F10" s="14" t="str">
        <f>'1B'!$B6</f>
        <v>BENJAMIN</v>
      </c>
      <c r="G10" s="12" t="s">
        <v>117</v>
      </c>
      <c r="H10" s="13" t="str">
        <f>'2'!$C6</f>
        <v>ČULINA</v>
      </c>
      <c r="I10" s="14" t="str">
        <f>'2'!$B6</f>
        <v xml:space="preserve">STIPE </v>
      </c>
      <c r="J10" s="12" t="s">
        <v>117</v>
      </c>
      <c r="K10" s="13" t="str">
        <f>'3'!$C6</f>
        <v>FILOTAŠ</v>
      </c>
      <c r="L10" s="14" t="str">
        <f>'3'!$B6</f>
        <v>ANDELON</v>
      </c>
    </row>
    <row r="11" spans="1:12" x14ac:dyDescent="0.2">
      <c r="A11" s="10" t="s">
        <v>116</v>
      </c>
      <c r="B11" s="11" t="str">
        <f>'1A'!$K7</f>
        <v>AND_6</v>
      </c>
      <c r="C11" s="20" t="s">
        <v>434</v>
      </c>
      <c r="D11" s="10" t="s">
        <v>116</v>
      </c>
      <c r="E11" s="11" t="str">
        <f>'1B'!$K7</f>
        <v>AND_18</v>
      </c>
      <c r="F11" s="20" t="s">
        <v>435</v>
      </c>
      <c r="G11" s="10" t="s">
        <v>116</v>
      </c>
      <c r="H11" s="11" t="str">
        <f>'2'!$I7</f>
        <v>AND_29</v>
      </c>
      <c r="I11" s="20">
        <v>2</v>
      </c>
      <c r="J11" s="10" t="s">
        <v>116</v>
      </c>
      <c r="K11" s="11" t="str">
        <f>'3'!$I7</f>
        <v>AND_29</v>
      </c>
      <c r="L11" s="20">
        <v>3</v>
      </c>
    </row>
    <row r="12" spans="1:12" x14ac:dyDescent="0.2">
      <c r="A12" s="12" t="s">
        <v>117</v>
      </c>
      <c r="B12" s="13" t="str">
        <f>'1A'!$C7</f>
        <v>FILOTAŠ</v>
      </c>
      <c r="C12" s="14" t="str">
        <f>'1A'!$B7</f>
        <v>STJEPAN</v>
      </c>
      <c r="D12" s="12" t="s">
        <v>117</v>
      </c>
      <c r="E12" s="13" t="str">
        <f>'1B'!$C7</f>
        <v>KNEŽEVIĆ</v>
      </c>
      <c r="F12" s="14" t="str">
        <f>'1B'!$B7</f>
        <v>ANAMARIJA</v>
      </c>
      <c r="G12" s="12" t="s">
        <v>117</v>
      </c>
      <c r="H12" s="13" t="str">
        <f>'2'!$C7</f>
        <v>ĆURČIĆ</v>
      </c>
      <c r="I12" s="14" t="str">
        <f>'2'!$B7</f>
        <v xml:space="preserve">BRUNO </v>
      </c>
      <c r="J12" s="12" t="s">
        <v>117</v>
      </c>
      <c r="K12" s="13" t="str">
        <f>'3'!$C7</f>
        <v>FRANIĆ</v>
      </c>
      <c r="L12" s="14" t="str">
        <f>'3'!$B7</f>
        <v>LUKA</v>
      </c>
    </row>
    <row r="13" spans="1:12" x14ac:dyDescent="0.2">
      <c r="A13" s="10" t="s">
        <v>116</v>
      </c>
      <c r="B13" s="11" t="str">
        <f>'1A'!$K8</f>
        <v>AND_7</v>
      </c>
      <c r="C13" s="20" t="s">
        <v>434</v>
      </c>
      <c r="D13" s="10" t="s">
        <v>116</v>
      </c>
      <c r="E13" s="11" t="str">
        <f>'1B'!$K8</f>
        <v>AND_19</v>
      </c>
      <c r="F13" s="20" t="s">
        <v>435</v>
      </c>
      <c r="G13" s="10" t="s">
        <v>116</v>
      </c>
      <c r="H13" s="11" t="str">
        <f>'2'!$I8</f>
        <v>AND_30</v>
      </c>
      <c r="I13" s="20">
        <v>2</v>
      </c>
      <c r="J13" s="10" t="s">
        <v>116</v>
      </c>
      <c r="K13" s="11" t="str">
        <f>'3'!$I8</f>
        <v>AND_30</v>
      </c>
      <c r="L13" s="20">
        <v>3</v>
      </c>
    </row>
    <row r="14" spans="1:12" x14ac:dyDescent="0.2">
      <c r="A14" s="12" t="s">
        <v>117</v>
      </c>
      <c r="B14" s="13" t="str">
        <f>'1A'!$C8</f>
        <v>HRUBI</v>
      </c>
      <c r="C14" s="14" t="str">
        <f>'1A'!$B8</f>
        <v>ADRIAN</v>
      </c>
      <c r="D14" s="12" t="s">
        <v>117</v>
      </c>
      <c r="E14" s="13" t="str">
        <f>'1B'!$C8</f>
        <v xml:space="preserve">MAJER </v>
      </c>
      <c r="F14" s="14" t="str">
        <f>'1B'!$B8</f>
        <v>LARA</v>
      </c>
      <c r="G14" s="12" t="s">
        <v>117</v>
      </c>
      <c r="H14" s="13" t="str">
        <f>'2'!$C8</f>
        <v xml:space="preserve"> ĆURČIĆ</v>
      </c>
      <c r="I14" s="14" t="str">
        <f>'2'!$B8</f>
        <v xml:space="preserve">VITO </v>
      </c>
      <c r="J14" s="12" t="s">
        <v>117</v>
      </c>
      <c r="K14" s="13" t="str">
        <f>'3'!$C8</f>
        <v>GLAS</v>
      </c>
      <c r="L14" s="14" t="str">
        <f>'3'!$B8</f>
        <v>FRAN</v>
      </c>
    </row>
    <row r="15" spans="1:12" x14ac:dyDescent="0.2">
      <c r="A15" s="10" t="s">
        <v>116</v>
      </c>
      <c r="B15" s="11" t="str">
        <f>'1A'!$K9</f>
        <v>AND_8</v>
      </c>
      <c r="C15" s="20" t="s">
        <v>434</v>
      </c>
      <c r="D15" s="10" t="s">
        <v>116</v>
      </c>
      <c r="E15" s="11" t="str">
        <f>'1B'!$K9</f>
        <v>AND_20</v>
      </c>
      <c r="F15" s="20" t="s">
        <v>435</v>
      </c>
      <c r="G15" s="10" t="s">
        <v>116</v>
      </c>
      <c r="H15" s="11" t="str">
        <f>'2'!$I9</f>
        <v>AND_31</v>
      </c>
      <c r="I15" s="20">
        <v>2</v>
      </c>
      <c r="J15" s="10" t="s">
        <v>116</v>
      </c>
      <c r="K15" s="11" t="str">
        <f>'3'!$I9</f>
        <v>AND_31</v>
      </c>
      <c r="L15" s="20">
        <v>3</v>
      </c>
    </row>
    <row r="16" spans="1:12" x14ac:dyDescent="0.2">
      <c r="A16" s="12" t="s">
        <v>117</v>
      </c>
      <c r="B16" s="13" t="str">
        <f>'1A'!$C9</f>
        <v>JERGOVIĆ</v>
      </c>
      <c r="C16" s="14" t="str">
        <f>'1A'!$B9</f>
        <v>VITA</v>
      </c>
      <c r="D16" s="12" t="s">
        <v>117</v>
      </c>
      <c r="E16" s="13" t="str">
        <f>'1B'!$C9</f>
        <v xml:space="preserve">MARTINIS </v>
      </c>
      <c r="F16" s="14" t="str">
        <f>'1B'!$B9</f>
        <v>VILIM</v>
      </c>
      <c r="G16" s="12" t="s">
        <v>117</v>
      </c>
      <c r="H16" s="13" t="str">
        <f>'2'!$C9</f>
        <v>DEKOVIĆ</v>
      </c>
      <c r="I16" s="14" t="str">
        <f>'2'!$B9</f>
        <v xml:space="preserve">IVAN </v>
      </c>
      <c r="J16" s="12" t="s">
        <v>117</v>
      </c>
      <c r="K16" s="13" t="str">
        <f>'3'!$C9</f>
        <v>HAINSKI</v>
      </c>
      <c r="L16" s="14" t="str">
        <f>'3'!$B9</f>
        <v>GITA</v>
      </c>
    </row>
    <row r="17" spans="1:12" x14ac:dyDescent="0.2">
      <c r="A17" s="10" t="s">
        <v>116</v>
      </c>
      <c r="B17" s="11" t="str">
        <f>'1A'!$K10</f>
        <v>AND_9</v>
      </c>
      <c r="C17" s="20" t="s">
        <v>434</v>
      </c>
      <c r="D17" s="10" t="s">
        <v>116</v>
      </c>
      <c r="E17" s="11" t="str">
        <f>'1B'!$K10</f>
        <v>AND_21</v>
      </c>
      <c r="F17" s="20" t="s">
        <v>435</v>
      </c>
      <c r="G17" s="10" t="s">
        <v>116</v>
      </c>
      <c r="H17" s="11" t="str">
        <f>'2'!$I10</f>
        <v>AND_32</v>
      </c>
      <c r="I17" s="20">
        <v>2</v>
      </c>
      <c r="J17" s="10" t="s">
        <v>116</v>
      </c>
      <c r="K17" s="11" t="str">
        <f>'3'!$I10</f>
        <v>AND_32</v>
      </c>
      <c r="L17" s="20">
        <v>3</v>
      </c>
    </row>
    <row r="18" spans="1:12" x14ac:dyDescent="0.2">
      <c r="A18" s="12" t="s">
        <v>117</v>
      </c>
      <c r="B18" s="13" t="str">
        <f>'1A'!$C10</f>
        <v>MATOŠEVIĆ</v>
      </c>
      <c r="C18" s="14" t="str">
        <f>'1A'!$B10</f>
        <v>KORINA</v>
      </c>
      <c r="D18" s="12" t="s">
        <v>117</v>
      </c>
      <c r="E18" s="13" t="str">
        <f>'1B'!$C10</f>
        <v xml:space="preserve">MATE </v>
      </c>
      <c r="F18" s="14" t="str">
        <f>'1B'!$B10</f>
        <v>NINA</v>
      </c>
      <c r="G18" s="12" t="s">
        <v>117</v>
      </c>
      <c r="H18" s="13" t="str">
        <f>'2'!$C10</f>
        <v>DIKLIĆ</v>
      </c>
      <c r="I18" s="14" t="str">
        <f>'2'!$B10</f>
        <v xml:space="preserve">ALAN </v>
      </c>
      <c r="J18" s="12" t="s">
        <v>117</v>
      </c>
      <c r="K18" s="13" t="str">
        <f>'3'!$C10</f>
        <v>HRANILOVIĆ</v>
      </c>
      <c r="L18" s="14" t="str">
        <f>'3'!$B10</f>
        <v>MIA</v>
      </c>
    </row>
    <row r="19" spans="1:12" s="16" customFormat="1" x14ac:dyDescent="0.2">
      <c r="A19" s="10" t="s">
        <v>116</v>
      </c>
      <c r="B19" s="11" t="str">
        <f>'1A'!$K11</f>
        <v>AND_10</v>
      </c>
      <c r="C19" s="20" t="s">
        <v>434</v>
      </c>
      <c r="D19" s="10" t="s">
        <v>116</v>
      </c>
      <c r="E19" s="11" t="str">
        <f>'1B'!$K11</f>
        <v>AND_22</v>
      </c>
      <c r="F19" s="20" t="s">
        <v>435</v>
      </c>
      <c r="G19" s="10" t="s">
        <v>116</v>
      </c>
      <c r="H19" s="11" t="str">
        <f>'2'!$I11</f>
        <v>AND_33</v>
      </c>
      <c r="I19" s="20">
        <v>2</v>
      </c>
      <c r="J19" s="10" t="s">
        <v>116</v>
      </c>
      <c r="K19" s="11" t="str">
        <f>'3'!$I11</f>
        <v>AND_33</v>
      </c>
      <c r="L19" s="20">
        <v>3</v>
      </c>
    </row>
    <row r="20" spans="1:12" s="16" customFormat="1" x14ac:dyDescent="0.2">
      <c r="A20" s="12" t="s">
        <v>117</v>
      </c>
      <c r="B20" s="13" t="str">
        <f>'1A'!$C11</f>
        <v>MIKOVIĆ</v>
      </c>
      <c r="C20" s="14" t="str">
        <f>'1A'!$B11</f>
        <v>BARBARA</v>
      </c>
      <c r="D20" s="12" t="s">
        <v>117</v>
      </c>
      <c r="E20" s="13" t="str">
        <f>'1B'!$C11</f>
        <v xml:space="preserve">MELHER </v>
      </c>
      <c r="F20" s="14" t="str">
        <f>'1B'!$B11</f>
        <v>MATEA</v>
      </c>
      <c r="G20" s="12" t="s">
        <v>117</v>
      </c>
      <c r="H20" s="13" t="str">
        <f>'2'!$C11</f>
        <v>DUIĆ</v>
      </c>
      <c r="I20" s="14" t="str">
        <f>'2'!$B11</f>
        <v xml:space="preserve">ROKO </v>
      </c>
      <c r="J20" s="12" t="s">
        <v>117</v>
      </c>
      <c r="K20" s="13" t="str">
        <f>'3'!$C11</f>
        <v>JAGAR</v>
      </c>
      <c r="L20" s="14" t="str">
        <f>'3'!$B11</f>
        <v>GABRIELA</v>
      </c>
    </row>
    <row r="21" spans="1:12" s="16" customFormat="1" x14ac:dyDescent="0.2">
      <c r="A21" s="10" t="s">
        <v>116</v>
      </c>
      <c r="B21" s="11" t="str">
        <f>'1A'!$K12</f>
        <v>AND_11</v>
      </c>
      <c r="C21" s="20" t="s">
        <v>434</v>
      </c>
      <c r="D21" s="10" t="s">
        <v>116</v>
      </c>
      <c r="E21" s="11" t="str">
        <f>'1B'!$K12</f>
        <v>AND_23</v>
      </c>
      <c r="F21" s="20" t="s">
        <v>435</v>
      </c>
      <c r="G21" s="10" t="s">
        <v>116</v>
      </c>
      <c r="H21" s="11" t="str">
        <f>'2'!$I12</f>
        <v>AND_34</v>
      </c>
      <c r="I21" s="20">
        <v>2</v>
      </c>
      <c r="J21" s="10" t="s">
        <v>116</v>
      </c>
      <c r="K21" s="11" t="str">
        <f>'3'!$I12</f>
        <v>AND_34</v>
      </c>
      <c r="L21" s="20">
        <v>3</v>
      </c>
    </row>
    <row r="22" spans="1:12" s="16" customFormat="1" x14ac:dyDescent="0.2">
      <c r="A22" s="12" t="s">
        <v>117</v>
      </c>
      <c r="B22" s="13" t="str">
        <f>'1A'!$C12</f>
        <v>PERESTEGI</v>
      </c>
      <c r="C22" s="14" t="str">
        <f>'1A'!$B12</f>
        <v>FILIP</v>
      </c>
      <c r="D22" s="12" t="s">
        <v>117</v>
      </c>
      <c r="E22" s="13" t="str">
        <f>'1B'!$C12</f>
        <v xml:space="preserve">OMRČANIN </v>
      </c>
      <c r="F22" s="14" t="str">
        <f>'1B'!$B12</f>
        <v>KATARINA</v>
      </c>
      <c r="G22" s="12" t="s">
        <v>117</v>
      </c>
      <c r="H22" s="13" t="str">
        <f>'2'!$C12</f>
        <v>FILIPOVIĆ</v>
      </c>
      <c r="I22" s="14" t="str">
        <f>'2'!$B12</f>
        <v xml:space="preserve">FRAN </v>
      </c>
      <c r="J22" s="12" t="s">
        <v>117</v>
      </c>
      <c r="K22" s="13" t="str">
        <f>'3'!$C12</f>
        <v>JAKOB</v>
      </c>
      <c r="L22" s="14" t="str">
        <f>'3'!$B12</f>
        <v>ISKRA</v>
      </c>
    </row>
    <row r="23" spans="1:12" s="16" customFormat="1" x14ac:dyDescent="0.2">
      <c r="A23" s="10" t="s">
        <v>116</v>
      </c>
      <c r="B23" s="11" t="str">
        <f>'1A'!$K13</f>
        <v>AND_12</v>
      </c>
      <c r="C23" s="20" t="s">
        <v>434</v>
      </c>
      <c r="D23" s="10" t="s">
        <v>116</v>
      </c>
      <c r="E23" s="11" t="str">
        <f>'1B'!$K13</f>
        <v>WIN_4</v>
      </c>
      <c r="F23" s="20" t="s">
        <v>435</v>
      </c>
      <c r="G23" s="10" t="s">
        <v>116</v>
      </c>
      <c r="H23" s="11" t="str">
        <f>'2'!$I13</f>
        <v>AND_35</v>
      </c>
      <c r="I23" s="20">
        <v>2</v>
      </c>
      <c r="J23" s="10" t="s">
        <v>116</v>
      </c>
      <c r="K23" s="11" t="str">
        <f>'3'!$I13</f>
        <v>AND_35</v>
      </c>
      <c r="L23" s="20">
        <v>3</v>
      </c>
    </row>
    <row r="24" spans="1:12" s="16" customFormat="1" x14ac:dyDescent="0.2">
      <c r="A24" s="12" t="s">
        <v>117</v>
      </c>
      <c r="B24" s="13" t="str">
        <f>'1A'!$C13</f>
        <v>SHEK BRNARDIĆ</v>
      </c>
      <c r="C24" s="14" t="str">
        <f>'1A'!$B13</f>
        <v>LARA</v>
      </c>
      <c r="D24" s="12" t="s">
        <v>117</v>
      </c>
      <c r="E24" s="13" t="str">
        <f>'1B'!$C13</f>
        <v xml:space="preserve">OSMAK </v>
      </c>
      <c r="F24" s="14" t="str">
        <f>'1B'!$B13</f>
        <v>JANA</v>
      </c>
      <c r="G24" s="12" t="s">
        <v>117</v>
      </c>
      <c r="H24" s="13" t="str">
        <f>'2'!$C13</f>
        <v xml:space="preserve"> HOTKO</v>
      </c>
      <c r="I24" s="14" t="str">
        <f>'2'!$B13</f>
        <v>LEON</v>
      </c>
      <c r="J24" s="12" t="s">
        <v>117</v>
      </c>
      <c r="K24" s="13" t="str">
        <f>'3'!$C13</f>
        <v>KAIĆ</v>
      </c>
      <c r="L24" s="14" t="str">
        <f>'3'!$B13</f>
        <v>LOVRO</v>
      </c>
    </row>
    <row r="25" spans="1:12" s="16" customFormat="1" x14ac:dyDescent="0.2">
      <c r="A25" s="10" t="s">
        <v>116</v>
      </c>
      <c r="B25" s="11" t="str">
        <f>'1A'!$K14</f>
        <v>WIN_1</v>
      </c>
      <c r="C25" s="20" t="s">
        <v>434</v>
      </c>
      <c r="D25" s="10" t="s">
        <v>116</v>
      </c>
      <c r="E25" s="11" t="str">
        <f>'1B'!$K14</f>
        <v>WIN_5</v>
      </c>
      <c r="F25" s="20" t="s">
        <v>435</v>
      </c>
      <c r="G25" s="10" t="s">
        <v>116</v>
      </c>
      <c r="H25" s="11" t="str">
        <f>'2'!$I14</f>
        <v>AND_36</v>
      </c>
      <c r="I25" s="20">
        <v>2</v>
      </c>
      <c r="J25" s="10" t="s">
        <v>116</v>
      </c>
      <c r="K25" s="11" t="str">
        <f>'3'!$I14</f>
        <v>AND_36</v>
      </c>
      <c r="L25" s="20">
        <v>3</v>
      </c>
    </row>
    <row r="26" spans="1:12" s="16" customFormat="1" x14ac:dyDescent="0.2">
      <c r="A26" s="12" t="s">
        <v>117</v>
      </c>
      <c r="B26" s="13" t="str">
        <f>'1A'!$C14</f>
        <v>ŠEGO</v>
      </c>
      <c r="C26" s="14" t="str">
        <f>'1A'!$B14</f>
        <v>MARIN</v>
      </c>
      <c r="D26" s="12" t="s">
        <v>117</v>
      </c>
      <c r="E26" s="13" t="str">
        <f>'1B'!$C14</f>
        <v xml:space="preserve">RIZVANOVIĆ ALVEDIN  </v>
      </c>
      <c r="F26" s="14" t="str">
        <f>'1B'!$B14</f>
        <v>DINO</v>
      </c>
      <c r="G26" s="12" t="s">
        <v>117</v>
      </c>
      <c r="H26" s="13" t="str">
        <f>'2'!$C14</f>
        <v xml:space="preserve"> JANDRIĆ</v>
      </c>
      <c r="I26" s="14" t="str">
        <f>'2'!$B14</f>
        <v>ALINA</v>
      </c>
      <c r="J26" s="12" t="s">
        <v>117</v>
      </c>
      <c r="K26" s="13" t="str">
        <f>'3'!$C14</f>
        <v>KARALIĆ</v>
      </c>
      <c r="L26" s="14" t="str">
        <f>'3'!$B14</f>
        <v>OMAR</v>
      </c>
    </row>
    <row r="27" spans="1:12" s="16" customFormat="1" x14ac:dyDescent="0.2">
      <c r="A27" s="10" t="s">
        <v>116</v>
      </c>
      <c r="B27" s="11" t="str">
        <f>'1A'!$K15</f>
        <v>WIN_2</v>
      </c>
      <c r="C27" s="20" t="s">
        <v>434</v>
      </c>
      <c r="D27" s="10" t="s">
        <v>116</v>
      </c>
      <c r="E27" s="11" t="str">
        <f>'1B'!$K15</f>
        <v>WIN_6</v>
      </c>
      <c r="F27" s="20" t="s">
        <v>435</v>
      </c>
      <c r="G27" s="10" t="s">
        <v>116</v>
      </c>
      <c r="H27" s="11" t="str">
        <f>'2'!$I15</f>
        <v>AND_37</v>
      </c>
      <c r="I27" s="20">
        <v>2</v>
      </c>
      <c r="J27" s="10" t="s">
        <v>116</v>
      </c>
      <c r="K27" s="11" t="str">
        <f>'3'!$I15</f>
        <v>AND_37</v>
      </c>
      <c r="L27" s="20">
        <v>3</v>
      </c>
    </row>
    <row r="28" spans="1:12" x14ac:dyDescent="0.2">
      <c r="A28" s="12" t="s">
        <v>117</v>
      </c>
      <c r="B28" s="13" t="str">
        <f>'1A'!$C15</f>
        <v>ŠUG</v>
      </c>
      <c r="C28" s="14" t="str">
        <f>'1A'!$B15</f>
        <v>LAURA</v>
      </c>
      <c r="D28" s="12" t="s">
        <v>117</v>
      </c>
      <c r="E28" s="13" t="str">
        <f>'1B'!$C15</f>
        <v xml:space="preserve">SEKELJ </v>
      </c>
      <c r="F28" s="14" t="str">
        <f>'1B'!$B15</f>
        <v>FILIP</v>
      </c>
      <c r="G28" s="12" t="s">
        <v>117</v>
      </c>
      <c r="H28" s="13" t="str">
        <f>'2'!$C15</f>
        <v xml:space="preserve"> KLASIĆ</v>
      </c>
      <c r="I28" s="14" t="str">
        <f>'2'!$B15</f>
        <v>MAŠA</v>
      </c>
      <c r="J28" s="12" t="s">
        <v>117</v>
      </c>
      <c r="K28" s="13" t="str">
        <f>'3'!$C15</f>
        <v>MATE</v>
      </c>
      <c r="L28" s="14" t="str">
        <f>'3'!$B15</f>
        <v>LEON</v>
      </c>
    </row>
    <row r="29" spans="1:12" x14ac:dyDescent="0.2">
      <c r="A29" s="10" t="s">
        <v>116</v>
      </c>
      <c r="B29" s="11" t="str">
        <f>'1A'!$K16</f>
        <v>WIN_3</v>
      </c>
      <c r="C29" s="20" t="s">
        <v>434</v>
      </c>
      <c r="D29" s="10" t="s">
        <v>116</v>
      </c>
      <c r="E29" s="11" t="str">
        <f>'1B'!$K16</f>
        <v>IOS_4</v>
      </c>
      <c r="F29" s="20" t="s">
        <v>435</v>
      </c>
      <c r="G29" s="10" t="s">
        <v>116</v>
      </c>
      <c r="H29" s="11" t="str">
        <f>'2'!$I16</f>
        <v>AND_38</v>
      </c>
      <c r="I29" s="20">
        <v>2</v>
      </c>
      <c r="J29" s="10" t="s">
        <v>116</v>
      </c>
      <c r="K29" s="11" t="str">
        <f>'3'!$I16</f>
        <v>AND_38</v>
      </c>
      <c r="L29" s="20">
        <v>3</v>
      </c>
    </row>
    <row r="30" spans="1:12" x14ac:dyDescent="0.2">
      <c r="A30" s="12" t="s">
        <v>117</v>
      </c>
      <c r="B30" s="13" t="str">
        <f>'1A'!$C16</f>
        <v>VEREŠ</v>
      </c>
      <c r="C30" s="14" t="str">
        <f>'1A'!$B16</f>
        <v>ROBERTINO</v>
      </c>
      <c r="D30" s="12" t="s">
        <v>117</v>
      </c>
      <c r="E30" s="13" t="str">
        <f>'1B'!$C16</f>
        <v xml:space="preserve">SORIĆ </v>
      </c>
      <c r="F30" s="14" t="str">
        <f>'1B'!$B16</f>
        <v>ELA</v>
      </c>
      <c r="G30" s="12" t="s">
        <v>117</v>
      </c>
      <c r="H30" s="13" t="str">
        <f>'2'!$C16</f>
        <v xml:space="preserve"> LEŠ</v>
      </c>
      <c r="I30" s="14" t="str">
        <f>'2'!$B16</f>
        <v>SIMON</v>
      </c>
      <c r="J30" s="12" t="s">
        <v>117</v>
      </c>
      <c r="K30" s="13" t="str">
        <f>'3'!$C16</f>
        <v>MATOŠEVIĆ</v>
      </c>
      <c r="L30" s="14" t="str">
        <f>'3'!$B16</f>
        <v>DAVID</v>
      </c>
    </row>
    <row r="31" spans="1:12" x14ac:dyDescent="0.2">
      <c r="A31" s="10" t="s">
        <v>116</v>
      </c>
      <c r="B31" s="11" t="str">
        <f>'1A'!$K17</f>
        <v>IOS_1</v>
      </c>
      <c r="C31" s="20" t="s">
        <v>434</v>
      </c>
      <c r="D31" s="10" t="s">
        <v>116</v>
      </c>
      <c r="E31" s="11" t="str">
        <f>'1B'!$K17</f>
        <v>IOS_5</v>
      </c>
      <c r="F31" s="20" t="s">
        <v>435</v>
      </c>
      <c r="G31" s="10" t="s">
        <v>116</v>
      </c>
      <c r="H31" s="11" t="str">
        <f>'2'!$I17</f>
        <v>WIN_7</v>
      </c>
      <c r="I31" s="20">
        <v>2</v>
      </c>
      <c r="J31" s="10" t="s">
        <v>116</v>
      </c>
      <c r="K31" s="11" t="str">
        <f>'3'!$I17</f>
        <v>WIN_7</v>
      </c>
      <c r="L31" s="20">
        <v>3</v>
      </c>
    </row>
    <row r="32" spans="1:12" x14ac:dyDescent="0.2">
      <c r="A32" s="12" t="s">
        <v>117</v>
      </c>
      <c r="B32" s="13" t="str">
        <f>'1A'!$C17</f>
        <v>VOJNOVIĆ</v>
      </c>
      <c r="C32" s="14" t="str">
        <f>'1A'!$B17</f>
        <v>KIRA DIADRA</v>
      </c>
      <c r="D32" s="12" t="s">
        <v>117</v>
      </c>
      <c r="E32" s="13" t="str">
        <f>'1B'!$C17</f>
        <v xml:space="preserve">SORIĆ </v>
      </c>
      <c r="F32" s="14" t="str">
        <f>'1B'!$B17</f>
        <v>EVA</v>
      </c>
      <c r="G32" s="12" t="s">
        <v>117</v>
      </c>
      <c r="H32" s="13" t="str">
        <f>'2'!$C17</f>
        <v xml:space="preserve"> MARCAPAN-KRESNIK</v>
      </c>
      <c r="I32" s="14" t="str">
        <f>'2'!$B17</f>
        <v>NATALY</v>
      </c>
      <c r="J32" s="12" t="s">
        <v>117</v>
      </c>
      <c r="K32" s="13" t="str">
        <f>'3'!$C17</f>
        <v>MAVRA</v>
      </c>
      <c r="L32" s="14" t="str">
        <f>'3'!$B17</f>
        <v>LUNA</v>
      </c>
    </row>
    <row r="33" spans="1:12" x14ac:dyDescent="0.2">
      <c r="A33" s="10" t="s">
        <v>116</v>
      </c>
      <c r="B33" s="11" t="str">
        <f>'1A'!$K18</f>
        <v>IOS_2</v>
      </c>
      <c r="C33" s="20" t="s">
        <v>434</v>
      </c>
      <c r="D33" s="10" t="s">
        <v>116</v>
      </c>
      <c r="E33" s="11" t="e">
        <f>'1B'!#REF!</f>
        <v>#REF!</v>
      </c>
      <c r="F33" s="20" t="s">
        <v>435</v>
      </c>
      <c r="G33" s="10" t="s">
        <v>116</v>
      </c>
      <c r="H33" s="11" t="str">
        <f>'2'!$I18</f>
        <v>WIN_8</v>
      </c>
      <c r="I33" s="20">
        <v>2</v>
      </c>
      <c r="J33" s="10" t="s">
        <v>116</v>
      </c>
      <c r="K33" s="11" t="str">
        <f>'3'!$I18</f>
        <v>WIN_8</v>
      </c>
      <c r="L33" s="20">
        <v>3</v>
      </c>
    </row>
    <row r="34" spans="1:12" x14ac:dyDescent="0.2">
      <c r="A34" s="12" t="s">
        <v>117</v>
      </c>
      <c r="B34" s="13" t="str">
        <f>'1A'!$C18</f>
        <v>VUGRIN</v>
      </c>
      <c r="C34" s="14" t="str">
        <f>'1A'!$B18</f>
        <v>JURAJ</v>
      </c>
      <c r="D34" s="12" t="s">
        <v>117</v>
      </c>
      <c r="E34" s="13" t="str">
        <f>'1B'!$C18</f>
        <v xml:space="preserve">VUJNOVIĆ </v>
      </c>
      <c r="F34" s="14" t="str">
        <f>'1B'!$B18</f>
        <v>IVAN</v>
      </c>
      <c r="G34" s="12" t="s">
        <v>117</v>
      </c>
      <c r="H34" s="13" t="str">
        <f>'2'!$C18</f>
        <v xml:space="preserve"> MARKUŠIĆ</v>
      </c>
      <c r="I34" s="14" t="str">
        <f>'2'!$B18</f>
        <v>LEONARDA</v>
      </c>
      <c r="J34" s="12" t="s">
        <v>117</v>
      </c>
      <c r="K34" s="13" t="str">
        <f>'3'!$C18</f>
        <v>MIHALJEVIĆ</v>
      </c>
      <c r="L34" s="14" t="str">
        <f>'3'!$B18</f>
        <v>MAGDALENA</v>
      </c>
    </row>
    <row r="35" spans="1:12" x14ac:dyDescent="0.2">
      <c r="A35" s="10" t="s">
        <v>116</v>
      </c>
      <c r="B35" s="11" t="str">
        <f>'1A'!$K19</f>
        <v>IOS_3</v>
      </c>
      <c r="C35" s="20" t="s">
        <v>434</v>
      </c>
      <c r="G35" s="10" t="s">
        <v>116</v>
      </c>
      <c r="H35" s="11" t="str">
        <f>'2'!$I19</f>
        <v>WIN_9</v>
      </c>
      <c r="I35" s="20">
        <v>2</v>
      </c>
      <c r="J35" s="10" t="s">
        <v>116</v>
      </c>
      <c r="K35" s="11" t="str">
        <f>'3'!$I19</f>
        <v>WIN_9</v>
      </c>
      <c r="L35" s="20">
        <v>3</v>
      </c>
    </row>
    <row r="36" spans="1:12" x14ac:dyDescent="0.2">
      <c r="A36" s="12" t="s">
        <v>117</v>
      </c>
      <c r="B36" s="13" t="str">
        <f>'1A'!$C19</f>
        <v>ZAVRTNIK</v>
      </c>
      <c r="C36" s="14" t="str">
        <f>'1A'!$B19</f>
        <v>VITO</v>
      </c>
      <c r="G36" s="12" t="s">
        <v>117</v>
      </c>
      <c r="H36" s="13" t="str">
        <f>'2'!$C19</f>
        <v>PRUGOVEČKI</v>
      </c>
      <c r="I36" s="14" t="str">
        <f>'2'!$B19</f>
        <v xml:space="preserve">LUKA </v>
      </c>
      <c r="J36" s="12" t="s">
        <v>117</v>
      </c>
      <c r="K36" s="13" t="str">
        <f>'3'!$C19</f>
        <v>PERESTEGI</v>
      </c>
      <c r="L36" s="14" t="str">
        <f>'3'!$B19</f>
        <v>MARTA</v>
      </c>
    </row>
    <row r="37" spans="1:12" x14ac:dyDescent="0.2">
      <c r="G37" s="10" t="s">
        <v>116</v>
      </c>
      <c r="H37" s="11" t="str">
        <f>'2'!$I20</f>
        <v>WIN_10</v>
      </c>
      <c r="I37" s="20">
        <v>2</v>
      </c>
      <c r="J37" s="10" t="s">
        <v>116</v>
      </c>
      <c r="K37" s="11" t="str">
        <f>'3'!$I20</f>
        <v>WIN_10</v>
      </c>
      <c r="L37" s="20">
        <v>3</v>
      </c>
    </row>
    <row r="38" spans="1:12" x14ac:dyDescent="0.2">
      <c r="G38" s="12" t="s">
        <v>117</v>
      </c>
      <c r="H38" s="13" t="str">
        <f>'2'!$C20</f>
        <v xml:space="preserve"> RENDULIĆ</v>
      </c>
      <c r="I38" s="14" t="str">
        <f>'2'!$B20</f>
        <v>MARKS RUDOLF</v>
      </c>
      <c r="J38" s="12" t="s">
        <v>117</v>
      </c>
      <c r="K38" s="13" t="str">
        <f>'3'!$C20</f>
        <v>PRELOG</v>
      </c>
      <c r="L38" s="14" t="str">
        <f>'3'!$B20</f>
        <v>IVY</v>
      </c>
    </row>
    <row r="39" spans="1:12" x14ac:dyDescent="0.2">
      <c r="G39" s="10" t="s">
        <v>116</v>
      </c>
      <c r="H39" s="11" t="str">
        <f>'2'!$I21</f>
        <v>WIN_11</v>
      </c>
      <c r="I39" s="20">
        <v>2</v>
      </c>
      <c r="J39" s="10" t="s">
        <v>116</v>
      </c>
      <c r="K39" s="11" t="str">
        <f>'3'!$I21</f>
        <v>WIN_11</v>
      </c>
      <c r="L39" s="20">
        <v>3</v>
      </c>
    </row>
    <row r="40" spans="1:12" x14ac:dyDescent="0.2">
      <c r="G40" s="12" t="s">
        <v>117</v>
      </c>
      <c r="H40" s="13" t="str">
        <f>'2'!$C21</f>
        <v>ŠIMIĆ</v>
      </c>
      <c r="I40" s="14" t="str">
        <f>'2'!$B21</f>
        <v xml:space="preserve">JAKOV </v>
      </c>
      <c r="J40" s="12" t="s">
        <v>117</v>
      </c>
      <c r="K40" s="13" t="str">
        <f>'3'!$C21</f>
        <v>SHEK BRNARDIĆ</v>
      </c>
      <c r="L40" s="14" t="str">
        <f>'3'!$B21</f>
        <v>LEA</v>
      </c>
    </row>
    <row r="41" spans="1:12" x14ac:dyDescent="0.2">
      <c r="G41" s="10" t="s">
        <v>116</v>
      </c>
      <c r="H41" s="11" t="str">
        <f>'2'!$I22</f>
        <v>IOS_7</v>
      </c>
      <c r="I41" s="20">
        <v>2</v>
      </c>
      <c r="J41" s="10" t="s">
        <v>116</v>
      </c>
      <c r="K41" s="11" t="str">
        <f>'3'!$I22</f>
        <v>IOS_7</v>
      </c>
      <c r="L41" s="20">
        <v>3</v>
      </c>
    </row>
    <row r="42" spans="1:12" x14ac:dyDescent="0.2">
      <c r="G42" s="12" t="s">
        <v>117</v>
      </c>
      <c r="H42" s="13" t="str">
        <f>'2'!$C22</f>
        <v>TRESK</v>
      </c>
      <c r="I42" s="14" t="str">
        <f>'2'!$B22</f>
        <v xml:space="preserve">KRUNO </v>
      </c>
      <c r="J42" s="12" t="s">
        <v>117</v>
      </c>
      <c r="K42" s="13" t="str">
        <f>'3'!$C22</f>
        <v>ŠTEKO</v>
      </c>
      <c r="L42" s="14" t="str">
        <f>'3'!$B22</f>
        <v>MARIN</v>
      </c>
    </row>
    <row r="43" spans="1:12" x14ac:dyDescent="0.2">
      <c r="G43" s="10" t="s">
        <v>116</v>
      </c>
      <c r="H43" s="11" t="str">
        <f>'2'!$I23</f>
        <v>IOS_8</v>
      </c>
      <c r="I43" s="20">
        <v>2</v>
      </c>
      <c r="J43" s="10" t="s">
        <v>116</v>
      </c>
      <c r="K43" s="11" t="str">
        <f>'3'!$I23</f>
        <v>IOS_8</v>
      </c>
      <c r="L43" s="20">
        <v>3</v>
      </c>
    </row>
    <row r="44" spans="1:12" x14ac:dyDescent="0.2">
      <c r="G44" s="12" t="s">
        <v>117</v>
      </c>
      <c r="H44" s="13" t="str">
        <f>'2'!$C23</f>
        <v>VALER</v>
      </c>
      <c r="I44" s="14" t="str">
        <f>'2'!$B23</f>
        <v xml:space="preserve">MATEJ </v>
      </c>
      <c r="J44" s="12" t="s">
        <v>117</v>
      </c>
      <c r="K44" s="13" t="str">
        <f>'3'!$C23</f>
        <v>ŠUK</v>
      </c>
      <c r="L44" s="14" t="str">
        <f>'3'!$B23</f>
        <v>LOVRO</v>
      </c>
    </row>
    <row r="45" spans="1:12" x14ac:dyDescent="0.2">
      <c r="G45" s="10" t="s">
        <v>116</v>
      </c>
      <c r="H45" s="11" t="str">
        <f>'2'!$I24</f>
        <v>IOS_9</v>
      </c>
      <c r="I45" s="20">
        <v>2</v>
      </c>
      <c r="J45" s="10" t="s">
        <v>116</v>
      </c>
      <c r="K45" s="11" t="str">
        <f>'3'!$I24</f>
        <v>IOS_9</v>
      </c>
      <c r="L45" s="20">
        <v>3</v>
      </c>
    </row>
    <row r="46" spans="1:12" x14ac:dyDescent="0.2">
      <c r="G46" s="12" t="s">
        <v>117</v>
      </c>
      <c r="H46" s="13" t="str">
        <f>'2'!$C24</f>
        <v>VUJNOVIĆ</v>
      </c>
      <c r="I46" s="14" t="str">
        <f>'2'!$B24</f>
        <v xml:space="preserve">LEON </v>
      </c>
      <c r="J46" s="12" t="s">
        <v>117</v>
      </c>
      <c r="K46" s="13" t="str">
        <f>'3'!$C24</f>
        <v>ZVONKOVIĆ</v>
      </c>
      <c r="L46" s="14" t="str">
        <f>'3'!$B24</f>
        <v>FRANCISKA</v>
      </c>
    </row>
    <row r="47" spans="1:12" x14ac:dyDescent="0.2">
      <c r="J47" s="10" t="s">
        <v>116</v>
      </c>
      <c r="K47" s="11" t="str">
        <f>'3'!$I25</f>
        <v>IOS_10</v>
      </c>
      <c r="L47" s="20">
        <v>3</v>
      </c>
    </row>
    <row r="48" spans="1:12" x14ac:dyDescent="0.2">
      <c r="J48" s="12" t="s">
        <v>117</v>
      </c>
      <c r="K48" s="13" t="str">
        <f>'3'!$C25</f>
        <v>ZVONKOVIĆ</v>
      </c>
      <c r="L48" s="14" t="str">
        <f>'3'!$B25</f>
        <v>MATEA</v>
      </c>
    </row>
  </sheetData>
  <pageMargins left="0.23622047244094491" right="0.23622047244094491" top="0.39370078740157483" bottom="0.35433070866141736" header="0.31496062992125984" footer="0.31496062992125984"/>
  <pageSetup paperSize="9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D42" sqref="D42"/>
    </sheetView>
  </sheetViews>
  <sheetFormatPr defaultRowHeight="15" x14ac:dyDescent="0.25"/>
  <cols>
    <col min="1" max="1" width="6.5703125" customWidth="1"/>
    <col min="2" max="2" width="15" customWidth="1"/>
    <col min="3" max="3" width="9.140625" customWidth="1"/>
    <col min="5" max="5" width="6.42578125" bestFit="1" customWidth="1"/>
    <col min="6" max="6" width="14.7109375" bestFit="1" customWidth="1"/>
    <col min="7" max="7" width="11.42578125" customWidth="1"/>
  </cols>
  <sheetData>
    <row r="1" spans="1:7" ht="11.25" customHeight="1" x14ac:dyDescent="0.25">
      <c r="A1" s="10" t="s">
        <v>116</v>
      </c>
      <c r="B1" s="11" t="s">
        <v>473</v>
      </c>
      <c r="C1" s="20" t="s">
        <v>435</v>
      </c>
      <c r="E1" s="10" t="s">
        <v>116</v>
      </c>
      <c r="F1" s="11" t="s">
        <v>479</v>
      </c>
      <c r="G1" s="20">
        <v>2</v>
      </c>
    </row>
    <row r="2" spans="1:7" ht="11.25" customHeight="1" x14ac:dyDescent="0.25">
      <c r="A2" s="12" t="s">
        <v>117</v>
      </c>
      <c r="B2" s="13" t="s">
        <v>138</v>
      </c>
      <c r="C2" s="14" t="s">
        <v>139</v>
      </c>
      <c r="E2" s="12" t="s">
        <v>117</v>
      </c>
      <c r="F2" s="13" t="s">
        <v>183</v>
      </c>
      <c r="G2" s="14" t="s">
        <v>182</v>
      </c>
    </row>
    <row r="3" spans="1:7" ht="11.25" customHeight="1" x14ac:dyDescent="0.25">
      <c r="A3" s="10" t="s">
        <v>116</v>
      </c>
      <c r="B3" s="11" t="s">
        <v>474</v>
      </c>
      <c r="C3" s="20" t="s">
        <v>435</v>
      </c>
      <c r="E3" s="10" t="s">
        <v>116</v>
      </c>
      <c r="F3" s="11" t="s">
        <v>480</v>
      </c>
      <c r="G3" s="20">
        <v>2</v>
      </c>
    </row>
    <row r="4" spans="1:7" ht="11.25" customHeight="1" x14ac:dyDescent="0.25">
      <c r="A4" s="12" t="s">
        <v>117</v>
      </c>
      <c r="B4" s="13" t="s">
        <v>140</v>
      </c>
      <c r="C4" s="14" t="s">
        <v>141</v>
      </c>
      <c r="E4" s="12" t="s">
        <v>117</v>
      </c>
      <c r="F4" s="13" t="s">
        <v>184</v>
      </c>
      <c r="G4" s="14" t="s">
        <v>185</v>
      </c>
    </row>
    <row r="5" spans="1:7" ht="11.25" customHeight="1" x14ac:dyDescent="0.25">
      <c r="A5" s="10" t="s">
        <v>116</v>
      </c>
      <c r="B5" s="11" t="s">
        <v>475</v>
      </c>
      <c r="C5" s="20" t="s">
        <v>435</v>
      </c>
      <c r="E5" s="10" t="s">
        <v>116</v>
      </c>
      <c r="F5" s="11" t="s">
        <v>481</v>
      </c>
      <c r="G5" s="20">
        <v>2</v>
      </c>
    </row>
    <row r="6" spans="1:7" ht="11.25" customHeight="1" x14ac:dyDescent="0.25">
      <c r="A6" s="12" t="s">
        <v>117</v>
      </c>
      <c r="B6" s="13" t="s">
        <v>142</v>
      </c>
      <c r="C6" s="14" t="s">
        <v>143</v>
      </c>
      <c r="E6" s="12" t="s">
        <v>117</v>
      </c>
      <c r="F6" s="13" t="s">
        <v>180</v>
      </c>
      <c r="G6" s="14" t="s">
        <v>181</v>
      </c>
    </row>
    <row r="7" spans="1:7" ht="11.25" customHeight="1" x14ac:dyDescent="0.25">
      <c r="A7" s="10" t="s">
        <v>116</v>
      </c>
      <c r="B7" s="11" t="s">
        <v>476</v>
      </c>
      <c r="C7" s="20" t="s">
        <v>435</v>
      </c>
      <c r="E7" s="10" t="s">
        <v>116</v>
      </c>
      <c r="F7" s="11" t="s">
        <v>482</v>
      </c>
      <c r="G7" s="20">
        <v>2</v>
      </c>
    </row>
    <row r="8" spans="1:7" ht="11.25" customHeight="1" x14ac:dyDescent="0.25">
      <c r="A8" s="12" t="s">
        <v>117</v>
      </c>
      <c r="B8" s="13" t="s">
        <v>144</v>
      </c>
      <c r="C8" s="14" t="s">
        <v>145</v>
      </c>
      <c r="E8" s="12" t="s">
        <v>117</v>
      </c>
      <c r="F8" s="13" t="s">
        <v>178</v>
      </c>
      <c r="G8" s="14" t="s">
        <v>179</v>
      </c>
    </row>
    <row r="9" spans="1:7" ht="11.25" customHeight="1" x14ac:dyDescent="0.25">
      <c r="A9" s="10" t="s">
        <v>116</v>
      </c>
      <c r="B9" s="11" t="s">
        <v>477</v>
      </c>
      <c r="C9" s="20" t="s">
        <v>435</v>
      </c>
      <c r="E9" s="10" t="s">
        <v>116</v>
      </c>
      <c r="F9" s="11" t="s">
        <v>483</v>
      </c>
      <c r="G9" s="20">
        <v>2</v>
      </c>
    </row>
    <row r="10" spans="1:7" ht="11.25" customHeight="1" x14ac:dyDescent="0.25">
      <c r="A10" s="12" t="s">
        <v>117</v>
      </c>
      <c r="B10" s="13" t="s">
        <v>144</v>
      </c>
      <c r="C10" s="14" t="s">
        <v>124</v>
      </c>
      <c r="E10" s="12" t="s">
        <v>117</v>
      </c>
      <c r="F10" s="13" t="s">
        <v>174</v>
      </c>
      <c r="G10" s="14" t="s">
        <v>175</v>
      </c>
    </row>
    <row r="11" spans="1:7" ht="11.25" customHeight="1" x14ac:dyDescent="0.25">
      <c r="A11" s="10" t="s">
        <v>116</v>
      </c>
      <c r="B11" s="11" t="s">
        <v>478</v>
      </c>
      <c r="C11" s="20" t="s">
        <v>435</v>
      </c>
      <c r="E11" s="10" t="s">
        <v>116</v>
      </c>
      <c r="F11" s="11" t="s">
        <v>484</v>
      </c>
      <c r="G11" s="20">
        <v>2</v>
      </c>
    </row>
    <row r="12" spans="1:7" ht="11.25" customHeight="1" x14ac:dyDescent="0.25">
      <c r="A12" s="12" t="s">
        <v>117</v>
      </c>
      <c r="B12" s="13" t="s">
        <v>146</v>
      </c>
      <c r="C12" s="14" t="s">
        <v>147</v>
      </c>
      <c r="E12" s="12" t="s">
        <v>117</v>
      </c>
      <c r="F12" s="13" t="s">
        <v>172</v>
      </c>
      <c r="G12" s="14" t="s">
        <v>173</v>
      </c>
    </row>
    <row r="13" spans="1:7" ht="11.25" customHeight="1" x14ac:dyDescent="0.25">
      <c r="E13" s="10" t="s">
        <v>116</v>
      </c>
      <c r="F13" s="11" t="s">
        <v>485</v>
      </c>
      <c r="G13" s="20">
        <v>2</v>
      </c>
    </row>
    <row r="14" spans="1:7" ht="11.25" customHeight="1" x14ac:dyDescent="0.25">
      <c r="A14" s="22" t="s">
        <v>493</v>
      </c>
      <c r="E14" s="12" t="s">
        <v>117</v>
      </c>
      <c r="F14" s="13" t="s">
        <v>170</v>
      </c>
      <c r="G14" s="14" t="s">
        <v>171</v>
      </c>
    </row>
    <row r="15" spans="1:7" ht="11.25" customHeight="1" x14ac:dyDescent="0.25">
      <c r="A15" s="10" t="s">
        <v>116</v>
      </c>
      <c r="B15" s="11" t="s">
        <v>487</v>
      </c>
      <c r="C15" s="20" t="s">
        <v>434</v>
      </c>
      <c r="E15" s="10" t="s">
        <v>116</v>
      </c>
      <c r="F15" s="11" t="s">
        <v>486</v>
      </c>
      <c r="G15" s="20">
        <v>2</v>
      </c>
    </row>
    <row r="16" spans="1:7" ht="11.25" customHeight="1" x14ac:dyDescent="0.25">
      <c r="A16" s="12" t="s">
        <v>117</v>
      </c>
      <c r="B16" s="13" t="s">
        <v>254</v>
      </c>
      <c r="C16" s="14" t="s">
        <v>230</v>
      </c>
      <c r="E16" s="12" t="s">
        <v>117</v>
      </c>
      <c r="F16" s="13" t="s">
        <v>168</v>
      </c>
      <c r="G16" s="14" t="s">
        <v>169</v>
      </c>
    </row>
    <row r="17" spans="1:7" ht="11.25" customHeight="1" x14ac:dyDescent="0.25">
      <c r="A17" s="10" t="s">
        <v>116</v>
      </c>
      <c r="B17" s="11" t="s">
        <v>488</v>
      </c>
      <c r="C17" s="20" t="s">
        <v>434</v>
      </c>
    </row>
    <row r="18" spans="1:7" ht="11.25" customHeight="1" x14ac:dyDescent="0.25">
      <c r="A18" s="12" t="s">
        <v>117</v>
      </c>
      <c r="B18" s="13" t="s">
        <v>256</v>
      </c>
      <c r="C18" s="14" t="s">
        <v>255</v>
      </c>
      <c r="E18" s="22" t="s">
        <v>494</v>
      </c>
    </row>
    <row r="19" spans="1:7" ht="11.25" customHeight="1" x14ac:dyDescent="0.25">
      <c r="A19" s="10" t="s">
        <v>116</v>
      </c>
      <c r="B19" s="11" t="s">
        <v>489</v>
      </c>
      <c r="C19" s="20" t="s">
        <v>434</v>
      </c>
      <c r="E19" s="10" t="s">
        <v>116</v>
      </c>
      <c r="F19" s="11" t="s">
        <v>495</v>
      </c>
      <c r="G19" s="20">
        <v>2</v>
      </c>
    </row>
    <row r="20" spans="1:7" ht="11.25" customHeight="1" x14ac:dyDescent="0.25">
      <c r="A20" s="12" t="s">
        <v>117</v>
      </c>
      <c r="B20" s="13" t="s">
        <v>258</v>
      </c>
      <c r="C20" s="14" t="s">
        <v>257</v>
      </c>
      <c r="E20" s="12" t="s">
        <v>117</v>
      </c>
      <c r="F20" s="13" t="s">
        <v>183</v>
      </c>
      <c r="G20" s="14" t="s">
        <v>182</v>
      </c>
    </row>
    <row r="21" spans="1:7" ht="11.25" customHeight="1" x14ac:dyDescent="0.25">
      <c r="A21" s="10" t="s">
        <v>116</v>
      </c>
      <c r="B21" s="11" t="s">
        <v>490</v>
      </c>
      <c r="C21" s="20" t="s">
        <v>434</v>
      </c>
      <c r="E21" s="10" t="s">
        <v>116</v>
      </c>
      <c r="F21" s="11" t="s">
        <v>496</v>
      </c>
      <c r="G21" s="20">
        <v>2</v>
      </c>
    </row>
    <row r="22" spans="1:7" ht="11.25" customHeight="1" x14ac:dyDescent="0.25">
      <c r="A22" s="12" t="s">
        <v>117</v>
      </c>
      <c r="B22" s="13" t="s">
        <v>260</v>
      </c>
      <c r="C22" s="14" t="s">
        <v>259</v>
      </c>
      <c r="E22" s="12" t="s">
        <v>117</v>
      </c>
      <c r="F22" s="13" t="s">
        <v>184</v>
      </c>
      <c r="G22" s="14" t="s">
        <v>185</v>
      </c>
    </row>
    <row r="23" spans="1:7" ht="11.25" customHeight="1" x14ac:dyDescent="0.25">
      <c r="A23" s="10" t="s">
        <v>116</v>
      </c>
      <c r="B23" s="11" t="s">
        <v>491</v>
      </c>
      <c r="C23" s="20" t="s">
        <v>434</v>
      </c>
      <c r="E23" s="10" t="s">
        <v>116</v>
      </c>
      <c r="F23" s="11" t="s">
        <v>497</v>
      </c>
      <c r="G23" s="20">
        <v>2</v>
      </c>
    </row>
    <row r="24" spans="1:7" ht="11.25" customHeight="1" x14ac:dyDescent="0.25">
      <c r="A24" s="12" t="s">
        <v>117</v>
      </c>
      <c r="B24" s="13" t="s">
        <v>262</v>
      </c>
      <c r="C24" s="14" t="s">
        <v>261</v>
      </c>
      <c r="E24" s="12" t="s">
        <v>117</v>
      </c>
      <c r="F24" s="13" t="s">
        <v>180</v>
      </c>
      <c r="G24" s="14" t="s">
        <v>181</v>
      </c>
    </row>
    <row r="25" spans="1:7" ht="11.25" customHeight="1" x14ac:dyDescent="0.25">
      <c r="A25" s="10" t="s">
        <v>116</v>
      </c>
      <c r="B25" s="11" t="s">
        <v>492</v>
      </c>
      <c r="C25" s="20" t="s">
        <v>434</v>
      </c>
      <c r="E25" s="10" t="s">
        <v>116</v>
      </c>
      <c r="F25" s="11" t="s">
        <v>498</v>
      </c>
      <c r="G25" s="20">
        <v>2</v>
      </c>
    </row>
    <row r="26" spans="1:7" ht="11.25" customHeight="1" x14ac:dyDescent="0.25">
      <c r="A26" s="12" t="s">
        <v>117</v>
      </c>
      <c r="B26" s="13" t="s">
        <v>264</v>
      </c>
      <c r="C26" s="14" t="s">
        <v>263</v>
      </c>
      <c r="E26" s="12" t="s">
        <v>117</v>
      </c>
      <c r="F26" s="13" t="s">
        <v>178</v>
      </c>
      <c r="G26" s="14" t="s">
        <v>179</v>
      </c>
    </row>
    <row r="27" spans="1:7" ht="11.25" customHeight="1" x14ac:dyDescent="0.25">
      <c r="E27" s="10" t="s">
        <v>116</v>
      </c>
      <c r="F27" s="11" t="s">
        <v>499</v>
      </c>
      <c r="G27" s="20">
        <v>2</v>
      </c>
    </row>
    <row r="28" spans="1:7" ht="11.25" customHeight="1" x14ac:dyDescent="0.25">
      <c r="E28" s="12" t="s">
        <v>117</v>
      </c>
      <c r="F28" s="13" t="s">
        <v>174</v>
      </c>
      <c r="G28" s="14" t="s">
        <v>175</v>
      </c>
    </row>
    <row r="29" spans="1:7" ht="11.25" customHeight="1" x14ac:dyDescent="0.25">
      <c r="E29" s="10" t="s">
        <v>116</v>
      </c>
      <c r="F29" s="11" t="s">
        <v>500</v>
      </c>
      <c r="G29" s="20">
        <v>2</v>
      </c>
    </row>
    <row r="30" spans="1:7" ht="11.25" customHeight="1" x14ac:dyDescent="0.25">
      <c r="E30" s="12" t="s">
        <v>117</v>
      </c>
      <c r="F30" s="13" t="s">
        <v>172</v>
      </c>
      <c r="G30" s="14" t="s">
        <v>173</v>
      </c>
    </row>
    <row r="31" spans="1:7" ht="11.25" customHeight="1" x14ac:dyDescent="0.25">
      <c r="E31" s="10" t="s">
        <v>116</v>
      </c>
      <c r="F31" s="11" t="s">
        <v>501</v>
      </c>
      <c r="G31" s="20">
        <v>2</v>
      </c>
    </row>
    <row r="32" spans="1:7" ht="11.25" customHeight="1" x14ac:dyDescent="0.25">
      <c r="E32" s="12" t="s">
        <v>117</v>
      </c>
      <c r="F32" s="13" t="s">
        <v>170</v>
      </c>
      <c r="G32" s="14" t="s">
        <v>171</v>
      </c>
    </row>
    <row r="33" spans="5:7" ht="11.25" customHeight="1" x14ac:dyDescent="0.25">
      <c r="E33" s="10" t="s">
        <v>116</v>
      </c>
      <c r="F33" s="11" t="s">
        <v>502</v>
      </c>
      <c r="G33" s="20">
        <v>2</v>
      </c>
    </row>
    <row r="34" spans="5:7" ht="11.25" customHeight="1" x14ac:dyDescent="0.25">
      <c r="E34" s="12" t="s">
        <v>117</v>
      </c>
      <c r="F34" s="13" t="s">
        <v>168</v>
      </c>
      <c r="G34" s="14" t="s">
        <v>169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opLeftCell="B13" workbookViewId="0">
      <selection activeCell="B28" sqref="B28"/>
    </sheetView>
  </sheetViews>
  <sheetFormatPr defaultRowHeight="15" x14ac:dyDescent="0.25"/>
  <cols>
    <col min="1" max="1" width="10.140625" customWidth="1"/>
    <col min="2" max="2" width="31.85546875" customWidth="1"/>
    <col min="3" max="3" width="13.42578125" bestFit="1" customWidth="1"/>
    <col min="6" max="6" width="12.42578125" bestFit="1" customWidth="1"/>
    <col min="7" max="7" width="15.140625" bestFit="1" customWidth="1"/>
  </cols>
  <sheetData>
    <row r="1" spans="1:14" x14ac:dyDescent="0.25">
      <c r="A1" t="s">
        <v>521</v>
      </c>
      <c r="B1" t="s">
        <v>522</v>
      </c>
      <c r="C1" t="s">
        <v>520</v>
      </c>
      <c r="N1" t="s">
        <v>523</v>
      </c>
    </row>
    <row r="2" spans="1:14" x14ac:dyDescent="0.25">
      <c r="A2">
        <v>169</v>
      </c>
      <c r="B2" s="19" t="s">
        <v>436</v>
      </c>
      <c r="C2">
        <v>168</v>
      </c>
      <c r="H2">
        <v>2257</v>
      </c>
      <c r="I2">
        <v>169</v>
      </c>
      <c r="M2">
        <v>169</v>
      </c>
      <c r="N2">
        <v>27</v>
      </c>
    </row>
    <row r="3" spans="1:14" x14ac:dyDescent="0.25">
      <c r="A3">
        <v>170</v>
      </c>
      <c r="B3" s="19" t="s">
        <v>437</v>
      </c>
      <c r="C3">
        <v>168</v>
      </c>
      <c r="H3">
        <v>2258</v>
      </c>
      <c r="I3">
        <v>170</v>
      </c>
      <c r="M3">
        <v>170</v>
      </c>
      <c r="N3">
        <v>27</v>
      </c>
    </row>
    <row r="4" spans="1:14" x14ac:dyDescent="0.25">
      <c r="A4">
        <v>171</v>
      </c>
      <c r="B4" s="19" t="s">
        <v>438</v>
      </c>
      <c r="C4">
        <v>168</v>
      </c>
      <c r="H4">
        <v>2259</v>
      </c>
      <c r="I4">
        <v>171</v>
      </c>
      <c r="M4">
        <v>171</v>
      </c>
      <c r="N4">
        <v>27</v>
      </c>
    </row>
    <row r="5" spans="1:14" x14ac:dyDescent="0.25">
      <c r="A5">
        <v>172</v>
      </c>
      <c r="B5" s="19" t="s">
        <v>439</v>
      </c>
      <c r="C5">
        <v>168</v>
      </c>
      <c r="H5">
        <v>2260</v>
      </c>
      <c r="I5">
        <v>172</v>
      </c>
      <c r="M5">
        <v>172</v>
      </c>
      <c r="N5">
        <v>27</v>
      </c>
    </row>
    <row r="6" spans="1:14" x14ac:dyDescent="0.25">
      <c r="A6">
        <v>173</v>
      </c>
      <c r="B6" s="19" t="s">
        <v>440</v>
      </c>
      <c r="C6">
        <v>168</v>
      </c>
      <c r="H6">
        <v>2261</v>
      </c>
      <c r="I6">
        <v>173</v>
      </c>
      <c r="M6">
        <v>173</v>
      </c>
      <c r="N6">
        <v>27</v>
      </c>
    </row>
    <row r="7" spans="1:14" x14ac:dyDescent="0.25">
      <c r="A7">
        <v>174</v>
      </c>
      <c r="B7" s="19" t="s">
        <v>441</v>
      </c>
      <c r="C7">
        <v>168</v>
      </c>
      <c r="H7">
        <v>2262</v>
      </c>
      <c r="I7">
        <v>174</v>
      </c>
      <c r="M7">
        <v>174</v>
      </c>
      <c r="N7">
        <v>27</v>
      </c>
    </row>
    <row r="8" spans="1:14" x14ac:dyDescent="0.25">
      <c r="A8">
        <v>175</v>
      </c>
      <c r="B8" s="19" t="s">
        <v>442</v>
      </c>
      <c r="C8">
        <v>168</v>
      </c>
      <c r="H8">
        <v>2263</v>
      </c>
      <c r="I8">
        <v>175</v>
      </c>
      <c r="M8">
        <v>175</v>
      </c>
      <c r="N8">
        <v>27</v>
      </c>
    </row>
    <row r="9" spans="1:14" x14ac:dyDescent="0.25">
      <c r="A9">
        <v>176</v>
      </c>
      <c r="B9" s="19" t="s">
        <v>443</v>
      </c>
      <c r="C9">
        <v>168</v>
      </c>
      <c r="H9">
        <v>2264</v>
      </c>
      <c r="I9">
        <v>176</v>
      </c>
      <c r="M9">
        <v>176</v>
      </c>
      <c r="N9">
        <v>27</v>
      </c>
    </row>
    <row r="10" spans="1:14" x14ac:dyDescent="0.25">
      <c r="A10">
        <v>177</v>
      </c>
      <c r="B10" s="19" t="s">
        <v>444</v>
      </c>
      <c r="C10">
        <v>168</v>
      </c>
      <c r="H10">
        <v>2265</v>
      </c>
      <c r="I10">
        <v>177</v>
      </c>
      <c r="M10">
        <v>177</v>
      </c>
      <c r="N10">
        <v>27</v>
      </c>
    </row>
    <row r="11" spans="1:14" x14ac:dyDescent="0.25">
      <c r="A11">
        <v>178</v>
      </c>
      <c r="B11" s="19" t="s">
        <v>445</v>
      </c>
      <c r="C11">
        <v>168</v>
      </c>
      <c r="H11">
        <v>2266</v>
      </c>
      <c r="I11">
        <v>178</v>
      </c>
      <c r="M11">
        <v>178</v>
      </c>
      <c r="N11">
        <v>27</v>
      </c>
    </row>
    <row r="12" spans="1:14" x14ac:dyDescent="0.25">
      <c r="A12">
        <v>179</v>
      </c>
      <c r="B12" s="19" t="s">
        <v>446</v>
      </c>
      <c r="C12">
        <v>168</v>
      </c>
      <c r="H12">
        <v>2267</v>
      </c>
      <c r="I12">
        <v>179</v>
      </c>
      <c r="M12">
        <v>179</v>
      </c>
      <c r="N12">
        <v>27</v>
      </c>
    </row>
    <row r="13" spans="1:14" x14ac:dyDescent="0.25">
      <c r="A13">
        <v>180</v>
      </c>
      <c r="B13" s="19" t="s">
        <v>447</v>
      </c>
      <c r="C13">
        <v>168</v>
      </c>
      <c r="H13">
        <v>2268</v>
      </c>
      <c r="I13">
        <v>180</v>
      </c>
      <c r="M13">
        <v>180</v>
      </c>
      <c r="N13">
        <v>27</v>
      </c>
    </row>
    <row r="14" spans="1:14" x14ac:dyDescent="0.25">
      <c r="A14">
        <v>181</v>
      </c>
      <c r="B14" s="19" t="s">
        <v>448</v>
      </c>
      <c r="C14">
        <v>168</v>
      </c>
      <c r="H14">
        <v>2269</v>
      </c>
      <c r="I14">
        <v>181</v>
      </c>
      <c r="M14">
        <v>181</v>
      </c>
      <c r="N14">
        <v>27</v>
      </c>
    </row>
    <row r="15" spans="1:14" x14ac:dyDescent="0.25">
      <c r="A15">
        <v>182</v>
      </c>
      <c r="B15" s="19" t="s">
        <v>449</v>
      </c>
      <c r="C15">
        <v>168</v>
      </c>
      <c r="H15">
        <v>2270</v>
      </c>
      <c r="I15">
        <v>182</v>
      </c>
      <c r="M15">
        <v>182</v>
      </c>
      <c r="N15">
        <v>27</v>
      </c>
    </row>
    <row r="16" spans="1:14" x14ac:dyDescent="0.25">
      <c r="A16">
        <v>183</v>
      </c>
      <c r="B16" s="19" t="s">
        <v>450</v>
      </c>
      <c r="C16">
        <v>168</v>
      </c>
      <c r="H16">
        <v>2271</v>
      </c>
      <c r="I16">
        <v>183</v>
      </c>
      <c r="M16">
        <v>183</v>
      </c>
      <c r="N16">
        <v>27</v>
      </c>
    </row>
    <row r="17" spans="1:14" x14ac:dyDescent="0.25">
      <c r="A17">
        <v>184</v>
      </c>
      <c r="B17" s="19" t="s">
        <v>451</v>
      </c>
      <c r="C17">
        <v>168</v>
      </c>
      <c r="H17">
        <v>2272</v>
      </c>
      <c r="I17">
        <v>184</v>
      </c>
      <c r="M17">
        <v>184</v>
      </c>
      <c r="N17">
        <v>27</v>
      </c>
    </row>
    <row r="18" spans="1:14" x14ac:dyDescent="0.25">
      <c r="A18">
        <v>185</v>
      </c>
      <c r="B18" s="19" t="s">
        <v>452</v>
      </c>
      <c r="C18">
        <v>168</v>
      </c>
      <c r="H18">
        <v>2273</v>
      </c>
      <c r="I18">
        <v>185</v>
      </c>
      <c r="M18">
        <v>185</v>
      </c>
      <c r="N18">
        <v>27</v>
      </c>
    </row>
    <row r="19" spans="1:14" x14ac:dyDescent="0.25">
      <c r="A19">
        <v>186</v>
      </c>
      <c r="B19" s="19" t="s">
        <v>453</v>
      </c>
      <c r="C19">
        <v>168</v>
      </c>
      <c r="H19">
        <v>2274</v>
      </c>
      <c r="I19">
        <v>186</v>
      </c>
      <c r="M19">
        <v>186</v>
      </c>
      <c r="N19">
        <v>27</v>
      </c>
    </row>
    <row r="20" spans="1:14" x14ac:dyDescent="0.25">
      <c r="A20">
        <v>187</v>
      </c>
      <c r="B20" s="19" t="s">
        <v>454</v>
      </c>
      <c r="C20">
        <v>168</v>
      </c>
      <c r="H20">
        <v>2275</v>
      </c>
      <c r="I20">
        <v>187</v>
      </c>
      <c r="M20">
        <v>187</v>
      </c>
      <c r="N20">
        <v>27</v>
      </c>
    </row>
    <row r="21" spans="1:14" x14ac:dyDescent="0.25">
      <c r="A21">
        <v>188</v>
      </c>
      <c r="B21" s="19" t="s">
        <v>455</v>
      </c>
      <c r="C21">
        <v>168</v>
      </c>
      <c r="H21">
        <v>2276</v>
      </c>
      <c r="I21">
        <v>188</v>
      </c>
      <c r="M21">
        <v>188</v>
      </c>
      <c r="N21">
        <v>27</v>
      </c>
    </row>
    <row r="22" spans="1:14" x14ac:dyDescent="0.25">
      <c r="A22">
        <v>189</v>
      </c>
      <c r="B22" s="19" t="s">
        <v>456</v>
      </c>
      <c r="C22">
        <v>168</v>
      </c>
      <c r="H22">
        <v>2277</v>
      </c>
      <c r="I22">
        <v>189</v>
      </c>
      <c r="M22">
        <v>189</v>
      </c>
      <c r="N22">
        <v>27</v>
      </c>
    </row>
    <row r="23" spans="1:14" x14ac:dyDescent="0.25">
      <c r="A23">
        <v>190</v>
      </c>
      <c r="B23" s="19" t="s">
        <v>457</v>
      </c>
      <c r="C23">
        <v>168</v>
      </c>
      <c r="H23">
        <v>2278</v>
      </c>
      <c r="I23">
        <v>190</v>
      </c>
      <c r="M23">
        <v>190</v>
      </c>
      <c r="N23">
        <v>27</v>
      </c>
    </row>
    <row r="24" spans="1:14" x14ac:dyDescent="0.25">
      <c r="A24">
        <v>191</v>
      </c>
      <c r="B24" s="19" t="s">
        <v>458</v>
      </c>
      <c r="C24">
        <v>168</v>
      </c>
      <c r="H24">
        <v>2279</v>
      </c>
      <c r="I24">
        <v>191</v>
      </c>
      <c r="M24">
        <v>191</v>
      </c>
      <c r="N24">
        <v>27</v>
      </c>
    </row>
    <row r="25" spans="1:14" x14ac:dyDescent="0.25">
      <c r="A25">
        <v>192</v>
      </c>
      <c r="B25" s="19" t="s">
        <v>459</v>
      </c>
      <c r="C25">
        <v>168</v>
      </c>
      <c r="H25">
        <v>2280</v>
      </c>
      <c r="I25">
        <v>192</v>
      </c>
      <c r="M25">
        <v>192</v>
      </c>
      <c r="N25">
        <v>27</v>
      </c>
    </row>
    <row r="27" spans="1:14" x14ac:dyDescent="0.25">
      <c r="F27" s="3" t="s">
        <v>472</v>
      </c>
      <c r="G27" s="3"/>
      <c r="H27" s="3"/>
      <c r="I27" s="3"/>
      <c r="J27" s="3"/>
      <c r="K27" s="3"/>
    </row>
    <row r="28" spans="1:14" x14ac:dyDescent="0.25">
      <c r="A28">
        <v>193</v>
      </c>
      <c r="B28" s="19" t="s">
        <v>460</v>
      </c>
      <c r="C28">
        <v>168</v>
      </c>
      <c r="F28" s="9" t="s">
        <v>194</v>
      </c>
      <c r="G28" s="9" t="s">
        <v>195</v>
      </c>
      <c r="H28" s="3">
        <v>2257</v>
      </c>
      <c r="I28" s="3">
        <v>193</v>
      </c>
      <c r="J28" s="21" t="s">
        <v>460</v>
      </c>
      <c r="K28" s="3"/>
      <c r="M28">
        <v>193</v>
      </c>
      <c r="N28">
        <v>28</v>
      </c>
    </row>
    <row r="29" spans="1:14" x14ac:dyDescent="0.25">
      <c r="A29">
        <v>194</v>
      </c>
      <c r="B29" s="19" t="s">
        <v>461</v>
      </c>
      <c r="C29">
        <v>168</v>
      </c>
      <c r="F29" s="9" t="s">
        <v>196</v>
      </c>
      <c r="G29" s="9" t="s">
        <v>197</v>
      </c>
      <c r="H29" s="3">
        <v>2258</v>
      </c>
      <c r="I29" s="3">
        <v>194</v>
      </c>
      <c r="J29" s="21" t="s">
        <v>461</v>
      </c>
      <c r="K29" s="3"/>
      <c r="M29">
        <v>194</v>
      </c>
      <c r="N29">
        <v>28</v>
      </c>
    </row>
    <row r="30" spans="1:14" x14ac:dyDescent="0.25">
      <c r="A30">
        <v>195</v>
      </c>
      <c r="B30" s="19" t="s">
        <v>462</v>
      </c>
      <c r="C30">
        <v>168</v>
      </c>
      <c r="F30" s="9" t="s">
        <v>198</v>
      </c>
      <c r="G30" s="9" t="s">
        <v>199</v>
      </c>
      <c r="H30" s="3">
        <v>2259</v>
      </c>
      <c r="I30" s="3">
        <v>195</v>
      </c>
      <c r="J30" s="21" t="s">
        <v>462</v>
      </c>
      <c r="K30" s="3"/>
      <c r="M30">
        <v>195</v>
      </c>
      <c r="N30">
        <v>28</v>
      </c>
    </row>
    <row r="31" spans="1:14" x14ac:dyDescent="0.25">
      <c r="A31">
        <v>196</v>
      </c>
      <c r="B31" s="19" t="s">
        <v>463</v>
      </c>
      <c r="C31">
        <v>168</v>
      </c>
      <c r="F31" s="9" t="s">
        <v>200</v>
      </c>
      <c r="G31" s="9" t="s">
        <v>201</v>
      </c>
      <c r="H31" s="3">
        <v>2260</v>
      </c>
      <c r="I31" s="3">
        <v>196</v>
      </c>
      <c r="J31" s="21" t="s">
        <v>463</v>
      </c>
      <c r="K31" s="3"/>
      <c r="M31">
        <v>196</v>
      </c>
      <c r="N31">
        <v>28</v>
      </c>
    </row>
    <row r="32" spans="1:14" x14ac:dyDescent="0.25">
      <c r="A32">
        <v>197</v>
      </c>
      <c r="B32" s="19" t="s">
        <v>464</v>
      </c>
      <c r="C32">
        <v>168</v>
      </c>
      <c r="F32" s="9" t="s">
        <v>202</v>
      </c>
      <c r="G32" s="9" t="s">
        <v>203</v>
      </c>
      <c r="H32" s="3">
        <v>2261</v>
      </c>
      <c r="I32" s="3">
        <v>197</v>
      </c>
      <c r="J32" s="21" t="s">
        <v>464</v>
      </c>
      <c r="K32" s="3"/>
      <c r="M32">
        <v>197</v>
      </c>
      <c r="N32">
        <v>28</v>
      </c>
    </row>
    <row r="33" spans="1:14" x14ac:dyDescent="0.25">
      <c r="A33">
        <v>198</v>
      </c>
      <c r="B33" s="19" t="s">
        <v>465</v>
      </c>
      <c r="C33">
        <v>168</v>
      </c>
      <c r="F33" s="9" t="s">
        <v>122</v>
      </c>
      <c r="G33" s="9" t="s">
        <v>204</v>
      </c>
      <c r="H33" s="3">
        <v>2262</v>
      </c>
      <c r="I33" s="3">
        <v>198</v>
      </c>
      <c r="J33" s="21" t="s">
        <v>465</v>
      </c>
      <c r="K33" s="3"/>
      <c r="M33">
        <v>198</v>
      </c>
      <c r="N33">
        <v>28</v>
      </c>
    </row>
    <row r="34" spans="1:14" x14ac:dyDescent="0.25">
      <c r="A34">
        <v>199</v>
      </c>
      <c r="B34" s="19" t="s">
        <v>466</v>
      </c>
      <c r="C34">
        <v>168</v>
      </c>
      <c r="F34" s="9" t="s">
        <v>205</v>
      </c>
      <c r="G34" s="9" t="s">
        <v>206</v>
      </c>
      <c r="H34" s="3">
        <v>2263</v>
      </c>
      <c r="I34" s="3">
        <v>199</v>
      </c>
      <c r="J34" s="21" t="s">
        <v>466</v>
      </c>
      <c r="K34" s="3"/>
      <c r="M34">
        <v>199</v>
      </c>
      <c r="N34">
        <v>28</v>
      </c>
    </row>
    <row r="35" spans="1:14" x14ac:dyDescent="0.25">
      <c r="A35">
        <v>200</v>
      </c>
      <c r="B35" s="19" t="s">
        <v>467</v>
      </c>
      <c r="C35">
        <v>168</v>
      </c>
      <c r="F35" s="9" t="s">
        <v>207</v>
      </c>
      <c r="G35" s="9" t="s">
        <v>208</v>
      </c>
      <c r="H35" s="3">
        <v>2264</v>
      </c>
      <c r="I35" s="3">
        <v>200</v>
      </c>
      <c r="J35" s="21" t="s">
        <v>467</v>
      </c>
      <c r="K35" s="3"/>
      <c r="M35">
        <v>200</v>
      </c>
      <c r="N35">
        <v>28</v>
      </c>
    </row>
    <row r="36" spans="1:14" x14ac:dyDescent="0.25">
      <c r="A36">
        <v>201</v>
      </c>
      <c r="B36" s="19" t="s">
        <v>468</v>
      </c>
      <c r="C36">
        <v>168</v>
      </c>
      <c r="F36" s="9" t="s">
        <v>209</v>
      </c>
      <c r="G36" s="9" t="s">
        <v>210</v>
      </c>
      <c r="H36" s="3">
        <v>2265</v>
      </c>
      <c r="I36" s="3">
        <v>201</v>
      </c>
      <c r="J36" s="21" t="s">
        <v>468</v>
      </c>
      <c r="K36" s="3"/>
      <c r="M36">
        <v>201</v>
      </c>
      <c r="N36">
        <v>28</v>
      </c>
    </row>
    <row r="37" spans="1:14" x14ac:dyDescent="0.25">
      <c r="A37">
        <v>202</v>
      </c>
      <c r="B37" s="19" t="s">
        <v>469</v>
      </c>
      <c r="C37">
        <v>168</v>
      </c>
      <c r="F37" s="9" t="s">
        <v>211</v>
      </c>
      <c r="G37" s="9" t="s">
        <v>212</v>
      </c>
      <c r="H37" s="3">
        <v>2266</v>
      </c>
      <c r="I37" s="3">
        <v>202</v>
      </c>
      <c r="J37" s="21" t="s">
        <v>469</v>
      </c>
      <c r="K37" s="3"/>
      <c r="M37">
        <v>202</v>
      </c>
      <c r="N37">
        <v>28</v>
      </c>
    </row>
    <row r="38" spans="1:14" x14ac:dyDescent="0.25">
      <c r="A38">
        <v>203</v>
      </c>
      <c r="B38" s="19" t="s">
        <v>470</v>
      </c>
      <c r="C38">
        <v>168</v>
      </c>
      <c r="F38" s="9" t="s">
        <v>213</v>
      </c>
      <c r="G38" s="9" t="s">
        <v>214</v>
      </c>
      <c r="H38" s="3">
        <v>2267</v>
      </c>
      <c r="I38" s="3">
        <v>203</v>
      </c>
      <c r="J38" s="21" t="s">
        <v>470</v>
      </c>
      <c r="K38" s="3"/>
      <c r="M38">
        <v>203</v>
      </c>
      <c r="N38">
        <v>28</v>
      </c>
    </row>
    <row r="39" spans="1:14" x14ac:dyDescent="0.25">
      <c r="A39">
        <v>204</v>
      </c>
      <c r="B39" s="19" t="s">
        <v>471</v>
      </c>
      <c r="C39">
        <v>168</v>
      </c>
      <c r="F39" s="9" t="s">
        <v>215</v>
      </c>
      <c r="G39" s="9" t="s">
        <v>216</v>
      </c>
      <c r="H39" s="3">
        <v>2268</v>
      </c>
      <c r="I39" s="3">
        <v>204</v>
      </c>
      <c r="J39" s="21" t="s">
        <v>471</v>
      </c>
      <c r="K39" s="3"/>
      <c r="M39">
        <v>204</v>
      </c>
      <c r="N39">
        <v>28</v>
      </c>
    </row>
    <row r="40" spans="1:14" x14ac:dyDescent="0.25">
      <c r="F40" s="9" t="s">
        <v>217</v>
      </c>
      <c r="G40" s="9" t="s">
        <v>218</v>
      </c>
      <c r="H40" s="3">
        <v>2269</v>
      </c>
      <c r="I40" s="3">
        <v>193</v>
      </c>
      <c r="J40" s="21" t="s">
        <v>460</v>
      </c>
      <c r="K40" s="3"/>
    </row>
    <row r="41" spans="1:14" x14ac:dyDescent="0.25">
      <c r="F41" s="9" t="s">
        <v>193</v>
      </c>
      <c r="G41" s="9" t="s">
        <v>219</v>
      </c>
      <c r="H41" s="3">
        <v>2270</v>
      </c>
      <c r="I41" s="3">
        <v>194</v>
      </c>
      <c r="J41" s="21" t="s">
        <v>461</v>
      </c>
      <c r="K41" s="3"/>
    </row>
    <row r="42" spans="1:14" x14ac:dyDescent="0.25">
      <c r="F42" s="9" t="s">
        <v>220</v>
      </c>
      <c r="G42" s="9" t="s">
        <v>221</v>
      </c>
      <c r="H42" s="3">
        <v>2271</v>
      </c>
      <c r="I42" s="3">
        <v>195</v>
      </c>
      <c r="J42" s="21" t="s">
        <v>462</v>
      </c>
      <c r="K42" s="3"/>
    </row>
    <row r="43" spans="1:14" x14ac:dyDescent="0.25">
      <c r="F43" s="9" t="s">
        <v>222</v>
      </c>
      <c r="G43" s="9" t="s">
        <v>223</v>
      </c>
      <c r="H43" s="3">
        <v>2272</v>
      </c>
      <c r="I43" s="3">
        <v>196</v>
      </c>
      <c r="J43" s="21" t="s">
        <v>463</v>
      </c>
      <c r="K43" s="3"/>
    </row>
    <row r="44" spans="1:14" x14ac:dyDescent="0.25">
      <c r="F44" s="9" t="s">
        <v>224</v>
      </c>
      <c r="G44" s="9" t="s">
        <v>225</v>
      </c>
      <c r="H44" s="3">
        <v>2273</v>
      </c>
      <c r="I44" s="3">
        <v>197</v>
      </c>
      <c r="J44" s="21" t="s">
        <v>464</v>
      </c>
      <c r="K44" s="3"/>
    </row>
    <row r="45" spans="1:14" x14ac:dyDescent="0.25">
      <c r="F45" s="9" t="s">
        <v>226</v>
      </c>
      <c r="G45" s="9" t="s">
        <v>227</v>
      </c>
      <c r="H45" s="3">
        <v>2274</v>
      </c>
      <c r="I45" s="3">
        <v>198</v>
      </c>
      <c r="J45" s="21" t="s">
        <v>465</v>
      </c>
      <c r="K45" s="3"/>
    </row>
    <row r="46" spans="1:14" x14ac:dyDescent="0.25">
      <c r="F46" s="9" t="s">
        <v>228</v>
      </c>
      <c r="G46" s="9" t="s">
        <v>229</v>
      </c>
      <c r="H46" s="3">
        <v>2275</v>
      </c>
      <c r="I46" s="3">
        <v>199</v>
      </c>
      <c r="J46" s="21" t="s">
        <v>466</v>
      </c>
      <c r="K46" s="3"/>
    </row>
    <row r="47" spans="1:14" x14ac:dyDescent="0.25">
      <c r="F47" s="9" t="s">
        <v>198</v>
      </c>
      <c r="G47" s="9" t="s">
        <v>235</v>
      </c>
      <c r="H47" s="3">
        <v>2276</v>
      </c>
      <c r="I47" s="3">
        <v>200</v>
      </c>
      <c r="J47" s="21" t="s">
        <v>467</v>
      </c>
      <c r="K47" s="3"/>
    </row>
    <row r="48" spans="1:14" x14ac:dyDescent="0.25">
      <c r="F48" s="9" t="s">
        <v>230</v>
      </c>
      <c r="G48" s="9" t="s">
        <v>231</v>
      </c>
      <c r="H48" s="3">
        <v>2277</v>
      </c>
      <c r="I48" s="3">
        <v>201</v>
      </c>
      <c r="J48" s="21" t="s">
        <v>468</v>
      </c>
      <c r="K48" s="3"/>
    </row>
    <row r="49" spans="6:11" x14ac:dyDescent="0.25">
      <c r="F49" s="9" t="s">
        <v>215</v>
      </c>
      <c r="G49" s="9" t="s">
        <v>232</v>
      </c>
      <c r="H49" s="3">
        <v>2278</v>
      </c>
      <c r="I49" s="3">
        <v>202</v>
      </c>
      <c r="J49" s="21" t="s">
        <v>469</v>
      </c>
      <c r="K49" s="3"/>
    </row>
    <row r="50" spans="6:11" x14ac:dyDescent="0.25">
      <c r="F50" s="9" t="s">
        <v>233</v>
      </c>
      <c r="G50" s="9" t="s">
        <v>234</v>
      </c>
      <c r="H50" s="3">
        <v>2279</v>
      </c>
      <c r="I50" s="3">
        <v>203</v>
      </c>
      <c r="J50" s="21" t="s">
        <v>470</v>
      </c>
      <c r="K50" s="3"/>
    </row>
    <row r="51" spans="6:11" x14ac:dyDescent="0.25">
      <c r="F51" s="9" t="s">
        <v>135</v>
      </c>
      <c r="G51" s="9" t="s">
        <v>234</v>
      </c>
      <c r="H51" s="3">
        <v>2280</v>
      </c>
      <c r="I51" s="3">
        <v>204</v>
      </c>
      <c r="J51" s="21" t="s">
        <v>471</v>
      </c>
      <c r="K51" s="3"/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B3" sqref="B3"/>
    </sheetView>
  </sheetViews>
  <sheetFormatPr defaultRowHeight="15" x14ac:dyDescent="0.25"/>
  <cols>
    <col min="2" max="2" width="30.7109375" bestFit="1" customWidth="1"/>
    <col min="3" max="3" width="13.42578125" bestFit="1" customWidth="1"/>
  </cols>
  <sheetData>
    <row r="1" spans="1:12" x14ac:dyDescent="0.25">
      <c r="B1" t="s">
        <v>525</v>
      </c>
      <c r="K1" t="s">
        <v>524</v>
      </c>
    </row>
    <row r="2" spans="1:12" x14ac:dyDescent="0.25">
      <c r="A2" t="s">
        <v>521</v>
      </c>
      <c r="B2" t="s">
        <v>522</v>
      </c>
      <c r="C2" t="s">
        <v>520</v>
      </c>
    </row>
    <row r="3" spans="1:12" x14ac:dyDescent="0.25">
      <c r="A3">
        <v>224</v>
      </c>
      <c r="B3" s="18" t="s">
        <v>503</v>
      </c>
      <c r="C3">
        <v>166</v>
      </c>
      <c r="G3">
        <v>224</v>
      </c>
      <c r="H3">
        <v>30</v>
      </c>
      <c r="K3">
        <v>2217</v>
      </c>
      <c r="L3">
        <v>224</v>
      </c>
    </row>
    <row r="4" spans="1:12" x14ac:dyDescent="0.25">
      <c r="A4">
        <v>225</v>
      </c>
      <c r="B4" s="18" t="s">
        <v>504</v>
      </c>
      <c r="C4">
        <v>166</v>
      </c>
      <c r="G4">
        <v>225</v>
      </c>
      <c r="H4">
        <v>30</v>
      </c>
      <c r="K4">
        <v>2218</v>
      </c>
      <c r="L4">
        <v>225</v>
      </c>
    </row>
    <row r="5" spans="1:12" x14ac:dyDescent="0.25">
      <c r="A5">
        <v>226</v>
      </c>
      <c r="B5" s="18" t="s">
        <v>505</v>
      </c>
      <c r="C5">
        <v>166</v>
      </c>
      <c r="G5">
        <v>226</v>
      </c>
      <c r="H5">
        <v>30</v>
      </c>
      <c r="K5">
        <v>2219</v>
      </c>
      <c r="L5">
        <v>226</v>
      </c>
    </row>
    <row r="6" spans="1:12" x14ac:dyDescent="0.25">
      <c r="A6">
        <v>227</v>
      </c>
      <c r="B6" s="18" t="s">
        <v>506</v>
      </c>
      <c r="C6">
        <v>166</v>
      </c>
      <c r="G6">
        <v>227</v>
      </c>
      <c r="H6">
        <v>30</v>
      </c>
      <c r="K6">
        <v>2220</v>
      </c>
      <c r="L6">
        <v>227</v>
      </c>
    </row>
    <row r="7" spans="1:12" x14ac:dyDescent="0.25">
      <c r="A7">
        <v>228</v>
      </c>
      <c r="B7" s="18" t="s">
        <v>507</v>
      </c>
      <c r="C7">
        <v>166</v>
      </c>
      <c r="G7">
        <v>228</v>
      </c>
      <c r="H7">
        <v>30</v>
      </c>
      <c r="K7">
        <v>2221</v>
      </c>
      <c r="L7">
        <v>228</v>
      </c>
    </row>
    <row r="8" spans="1:12" x14ac:dyDescent="0.25">
      <c r="A8">
        <v>229</v>
      </c>
      <c r="B8" s="18" t="s">
        <v>508</v>
      </c>
      <c r="C8">
        <v>166</v>
      </c>
      <c r="G8">
        <v>229</v>
      </c>
      <c r="H8">
        <v>30</v>
      </c>
      <c r="K8">
        <v>2222</v>
      </c>
      <c r="L8">
        <v>229</v>
      </c>
    </row>
    <row r="9" spans="1:12" x14ac:dyDescent="0.25">
      <c r="A9">
        <v>230</v>
      </c>
      <c r="B9" s="18" t="s">
        <v>509</v>
      </c>
      <c r="C9">
        <v>166</v>
      </c>
      <c r="G9">
        <v>230</v>
      </c>
      <c r="H9">
        <v>30</v>
      </c>
      <c r="K9">
        <v>2223</v>
      </c>
      <c r="L9">
        <v>230</v>
      </c>
    </row>
    <row r="10" spans="1:12" x14ac:dyDescent="0.25">
      <c r="A10">
        <v>231</v>
      </c>
      <c r="B10" s="18" t="s">
        <v>510</v>
      </c>
      <c r="C10">
        <v>166</v>
      </c>
      <c r="G10">
        <v>231</v>
      </c>
      <c r="H10">
        <v>30</v>
      </c>
      <c r="K10">
        <v>2224</v>
      </c>
      <c r="L10">
        <v>231</v>
      </c>
    </row>
    <row r="11" spans="1:12" x14ac:dyDescent="0.25">
      <c r="A11">
        <v>232</v>
      </c>
      <c r="B11" s="18" t="s">
        <v>511</v>
      </c>
      <c r="C11">
        <v>166</v>
      </c>
      <c r="G11">
        <v>232</v>
      </c>
      <c r="H11">
        <v>30</v>
      </c>
      <c r="K11">
        <v>2225</v>
      </c>
      <c r="L11">
        <v>232</v>
      </c>
    </row>
    <row r="12" spans="1:12" x14ac:dyDescent="0.25">
      <c r="A12">
        <v>233</v>
      </c>
      <c r="B12" s="18" t="s">
        <v>512</v>
      </c>
      <c r="C12">
        <v>166</v>
      </c>
      <c r="G12">
        <v>233</v>
      </c>
      <c r="H12">
        <v>30</v>
      </c>
      <c r="K12">
        <v>2226</v>
      </c>
      <c r="L12">
        <v>233</v>
      </c>
    </row>
    <row r="13" spans="1:12" x14ac:dyDescent="0.25">
      <c r="A13">
        <v>234</v>
      </c>
      <c r="B13" s="18" t="s">
        <v>513</v>
      </c>
      <c r="C13">
        <v>166</v>
      </c>
      <c r="G13">
        <v>234</v>
      </c>
      <c r="H13">
        <v>30</v>
      </c>
      <c r="K13">
        <v>2227</v>
      </c>
      <c r="L13">
        <v>234</v>
      </c>
    </row>
    <row r="14" spans="1:12" x14ac:dyDescent="0.25">
      <c r="A14">
        <v>235</v>
      </c>
      <c r="B14" s="18" t="s">
        <v>514</v>
      </c>
      <c r="C14">
        <v>166</v>
      </c>
      <c r="G14">
        <v>235</v>
      </c>
      <c r="H14">
        <v>30</v>
      </c>
      <c r="K14">
        <v>2228</v>
      </c>
      <c r="L14">
        <v>235</v>
      </c>
    </row>
    <row r="15" spans="1:12" x14ac:dyDescent="0.25">
      <c r="A15">
        <v>236</v>
      </c>
      <c r="B15" s="18" t="s">
        <v>515</v>
      </c>
      <c r="C15">
        <v>166</v>
      </c>
      <c r="G15">
        <v>236</v>
      </c>
      <c r="H15">
        <v>30</v>
      </c>
      <c r="K15">
        <v>2229</v>
      </c>
      <c r="L15">
        <v>236</v>
      </c>
    </row>
    <row r="16" spans="1:12" x14ac:dyDescent="0.25">
      <c r="A16">
        <v>237</v>
      </c>
      <c r="B16" s="18" t="s">
        <v>516</v>
      </c>
      <c r="C16">
        <v>166</v>
      </c>
      <c r="G16">
        <v>237</v>
      </c>
      <c r="H16">
        <v>30</v>
      </c>
      <c r="K16">
        <v>2230</v>
      </c>
      <c r="L16">
        <v>237</v>
      </c>
    </row>
    <row r="17" spans="1:12" x14ac:dyDescent="0.25">
      <c r="A17">
        <v>238</v>
      </c>
      <c r="B17" s="18" t="s">
        <v>517</v>
      </c>
      <c r="C17">
        <v>166</v>
      </c>
      <c r="G17">
        <v>238</v>
      </c>
      <c r="H17">
        <v>30</v>
      </c>
      <c r="K17">
        <v>2231</v>
      </c>
      <c r="L17">
        <v>238</v>
      </c>
    </row>
    <row r="18" spans="1:12" x14ac:dyDescent="0.25">
      <c r="A18">
        <v>239</v>
      </c>
      <c r="B18" s="18" t="s">
        <v>518</v>
      </c>
      <c r="C18">
        <v>166</v>
      </c>
      <c r="G18">
        <v>239</v>
      </c>
      <c r="H18">
        <v>30</v>
      </c>
      <c r="K18">
        <v>2232</v>
      </c>
      <c r="L18">
        <v>239</v>
      </c>
    </row>
    <row r="19" spans="1:12" x14ac:dyDescent="0.25">
      <c r="A19">
        <v>240</v>
      </c>
      <c r="B19" s="18" t="s">
        <v>519</v>
      </c>
      <c r="C19">
        <v>166</v>
      </c>
      <c r="G19">
        <v>240</v>
      </c>
      <c r="H19">
        <v>30</v>
      </c>
      <c r="K19">
        <v>2233</v>
      </c>
      <c r="L19">
        <v>240</v>
      </c>
    </row>
    <row r="22" spans="1:12" x14ac:dyDescent="0.25">
      <c r="A22">
        <v>241</v>
      </c>
      <c r="B22" s="19" t="s">
        <v>460</v>
      </c>
      <c r="C22">
        <v>166</v>
      </c>
      <c r="G22">
        <v>241</v>
      </c>
      <c r="H22">
        <v>31</v>
      </c>
      <c r="K22">
        <v>2217</v>
      </c>
      <c r="L22">
        <v>241</v>
      </c>
    </row>
    <row r="23" spans="1:12" x14ac:dyDescent="0.25">
      <c r="A23">
        <v>242</v>
      </c>
      <c r="B23" s="19" t="s">
        <v>461</v>
      </c>
      <c r="C23">
        <v>166</v>
      </c>
      <c r="G23">
        <v>242</v>
      </c>
      <c r="H23">
        <v>31</v>
      </c>
      <c r="K23">
        <v>2218</v>
      </c>
      <c r="L23">
        <v>242</v>
      </c>
    </row>
    <row r="24" spans="1:12" x14ac:dyDescent="0.25">
      <c r="A24">
        <v>243</v>
      </c>
      <c r="B24" s="19" t="s">
        <v>462</v>
      </c>
      <c r="C24">
        <v>166</v>
      </c>
      <c r="G24">
        <v>243</v>
      </c>
      <c r="H24">
        <v>31</v>
      </c>
      <c r="K24">
        <v>2219</v>
      </c>
      <c r="L24">
        <v>243</v>
      </c>
    </row>
    <row r="25" spans="1:12" x14ac:dyDescent="0.25">
      <c r="A25">
        <v>244</v>
      </c>
      <c r="B25" s="19" t="s">
        <v>463</v>
      </c>
      <c r="C25">
        <v>166</v>
      </c>
      <c r="G25">
        <v>244</v>
      </c>
      <c r="H25">
        <v>31</v>
      </c>
      <c r="K25">
        <v>2220</v>
      </c>
      <c r="L25">
        <v>244</v>
      </c>
    </row>
    <row r="26" spans="1:12" x14ac:dyDescent="0.25">
      <c r="A26">
        <v>245</v>
      </c>
      <c r="B26" s="19" t="s">
        <v>464</v>
      </c>
      <c r="C26">
        <v>166</v>
      </c>
      <c r="G26">
        <v>245</v>
      </c>
      <c r="H26">
        <v>31</v>
      </c>
      <c r="K26">
        <v>2221</v>
      </c>
      <c r="L26">
        <v>245</v>
      </c>
    </row>
    <row r="27" spans="1:12" x14ac:dyDescent="0.25">
      <c r="A27">
        <v>246</v>
      </c>
      <c r="B27" s="19" t="s">
        <v>465</v>
      </c>
      <c r="C27">
        <v>166</v>
      </c>
      <c r="G27">
        <v>246</v>
      </c>
      <c r="H27">
        <v>31</v>
      </c>
      <c r="K27">
        <v>2222</v>
      </c>
      <c r="L27">
        <v>246</v>
      </c>
    </row>
    <row r="28" spans="1:12" x14ac:dyDescent="0.25">
      <c r="A28">
        <v>247</v>
      </c>
      <c r="B28" s="19" t="s">
        <v>466</v>
      </c>
      <c r="C28">
        <v>166</v>
      </c>
      <c r="G28">
        <v>247</v>
      </c>
      <c r="H28">
        <v>31</v>
      </c>
      <c r="K28">
        <v>2223</v>
      </c>
      <c r="L28">
        <v>247</v>
      </c>
    </row>
    <row r="29" spans="1:12" x14ac:dyDescent="0.25">
      <c r="A29">
        <v>248</v>
      </c>
      <c r="B29" s="19" t="s">
        <v>467</v>
      </c>
      <c r="C29">
        <v>166</v>
      </c>
      <c r="G29">
        <v>248</v>
      </c>
      <c r="H29">
        <v>31</v>
      </c>
      <c r="K29">
        <v>2224</v>
      </c>
      <c r="L29">
        <v>248</v>
      </c>
    </row>
    <row r="30" spans="1:12" x14ac:dyDescent="0.25">
      <c r="K30">
        <v>2225</v>
      </c>
      <c r="L30">
        <v>241</v>
      </c>
    </row>
    <row r="31" spans="1:12" x14ac:dyDescent="0.25">
      <c r="K31">
        <v>2226</v>
      </c>
      <c r="L31">
        <v>242</v>
      </c>
    </row>
    <row r="32" spans="1:12" x14ac:dyDescent="0.25">
      <c r="K32">
        <v>2227</v>
      </c>
      <c r="L32">
        <v>243</v>
      </c>
    </row>
    <row r="33" spans="11:12" x14ac:dyDescent="0.25">
      <c r="K33">
        <v>2228</v>
      </c>
      <c r="L33">
        <v>244</v>
      </c>
    </row>
    <row r="34" spans="11:12" x14ac:dyDescent="0.25">
      <c r="K34">
        <v>2229</v>
      </c>
      <c r="L34">
        <v>245</v>
      </c>
    </row>
    <row r="35" spans="11:12" x14ac:dyDescent="0.25">
      <c r="K35">
        <v>2230</v>
      </c>
      <c r="L35">
        <v>246</v>
      </c>
    </row>
    <row r="36" spans="11:12" x14ac:dyDescent="0.25">
      <c r="K36">
        <v>2231</v>
      </c>
      <c r="L36">
        <v>247</v>
      </c>
    </row>
    <row r="37" spans="11:12" x14ac:dyDescent="0.25">
      <c r="K37">
        <v>2232</v>
      </c>
      <c r="L37">
        <v>248</v>
      </c>
    </row>
    <row r="38" spans="11:12" x14ac:dyDescent="0.25">
      <c r="K38">
        <v>2233</v>
      </c>
      <c r="L38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activeCell="N18" sqref="N18"/>
    </sheetView>
  </sheetViews>
  <sheetFormatPr defaultRowHeight="15" x14ac:dyDescent="0.25"/>
  <cols>
    <col min="2" max="2" width="24.42578125" bestFit="1" customWidth="1"/>
  </cols>
  <sheetData>
    <row r="1" spans="1:12" x14ac:dyDescent="0.25">
      <c r="B1" t="s">
        <v>525</v>
      </c>
      <c r="G1" t="s">
        <v>544</v>
      </c>
      <c r="K1" t="s">
        <v>524</v>
      </c>
    </row>
    <row r="2" spans="1:12" x14ac:dyDescent="0.25">
      <c r="A2" t="s">
        <v>521</v>
      </c>
      <c r="B2" t="s">
        <v>522</v>
      </c>
      <c r="C2" t="s">
        <v>520</v>
      </c>
    </row>
    <row r="3" spans="1:12" x14ac:dyDescent="0.25">
      <c r="A3">
        <v>249</v>
      </c>
      <c r="B3" s="9" t="s">
        <v>526</v>
      </c>
      <c r="C3">
        <v>165</v>
      </c>
      <c r="G3">
        <v>249</v>
      </c>
      <c r="H3">
        <v>30</v>
      </c>
      <c r="K3">
        <v>2199</v>
      </c>
      <c r="L3">
        <v>249</v>
      </c>
    </row>
    <row r="4" spans="1:12" x14ac:dyDescent="0.25">
      <c r="A4">
        <v>250</v>
      </c>
      <c r="B4" s="9" t="s">
        <v>527</v>
      </c>
      <c r="C4">
        <v>165</v>
      </c>
      <c r="G4">
        <v>250</v>
      </c>
      <c r="H4">
        <v>30</v>
      </c>
      <c r="K4">
        <v>2200</v>
      </c>
      <c r="L4">
        <v>250</v>
      </c>
    </row>
    <row r="5" spans="1:12" x14ac:dyDescent="0.25">
      <c r="A5">
        <v>251</v>
      </c>
      <c r="B5" s="9" t="s">
        <v>528</v>
      </c>
      <c r="C5">
        <v>165</v>
      </c>
      <c r="G5">
        <v>251</v>
      </c>
      <c r="H5">
        <v>30</v>
      </c>
      <c r="K5">
        <v>2201</v>
      </c>
      <c r="L5">
        <v>251</v>
      </c>
    </row>
    <row r="6" spans="1:12" x14ac:dyDescent="0.25">
      <c r="A6">
        <v>252</v>
      </c>
      <c r="B6" s="9" t="s">
        <v>529</v>
      </c>
      <c r="C6">
        <v>165</v>
      </c>
      <c r="G6">
        <v>252</v>
      </c>
      <c r="H6">
        <v>30</v>
      </c>
      <c r="K6">
        <v>2202</v>
      </c>
      <c r="L6">
        <v>252</v>
      </c>
    </row>
    <row r="7" spans="1:12" x14ac:dyDescent="0.25">
      <c r="A7">
        <v>253</v>
      </c>
      <c r="B7" s="9" t="s">
        <v>530</v>
      </c>
      <c r="C7">
        <v>165</v>
      </c>
      <c r="G7">
        <v>253</v>
      </c>
      <c r="H7">
        <v>30</v>
      </c>
      <c r="K7">
        <v>2203</v>
      </c>
      <c r="L7">
        <v>253</v>
      </c>
    </row>
    <row r="8" spans="1:12" x14ac:dyDescent="0.25">
      <c r="A8">
        <v>254</v>
      </c>
      <c r="B8" s="9" t="s">
        <v>531</v>
      </c>
      <c r="C8">
        <v>165</v>
      </c>
      <c r="G8">
        <v>254</v>
      </c>
      <c r="H8">
        <v>30</v>
      </c>
      <c r="K8">
        <v>2204</v>
      </c>
      <c r="L8">
        <v>254</v>
      </c>
    </row>
    <row r="9" spans="1:12" x14ac:dyDescent="0.25">
      <c r="A9">
        <v>255</v>
      </c>
      <c r="B9" s="9" t="s">
        <v>532</v>
      </c>
      <c r="C9">
        <v>165</v>
      </c>
      <c r="G9">
        <v>255</v>
      </c>
      <c r="H9">
        <v>30</v>
      </c>
      <c r="K9">
        <v>2205</v>
      </c>
      <c r="L9">
        <v>255</v>
      </c>
    </row>
    <row r="10" spans="1:12" x14ac:dyDescent="0.25">
      <c r="A10">
        <v>256</v>
      </c>
      <c r="B10" s="9" t="s">
        <v>533</v>
      </c>
      <c r="C10">
        <v>165</v>
      </c>
      <c r="G10">
        <v>256</v>
      </c>
      <c r="H10">
        <v>30</v>
      </c>
      <c r="K10">
        <v>2206</v>
      </c>
      <c r="L10">
        <v>256</v>
      </c>
    </row>
    <row r="11" spans="1:12" x14ac:dyDescent="0.25">
      <c r="A11">
        <v>257</v>
      </c>
      <c r="B11" s="9" t="s">
        <v>534</v>
      </c>
      <c r="C11">
        <v>165</v>
      </c>
      <c r="G11">
        <v>257</v>
      </c>
      <c r="H11">
        <v>30</v>
      </c>
      <c r="K11">
        <v>2207</v>
      </c>
      <c r="L11">
        <v>257</v>
      </c>
    </row>
    <row r="12" spans="1:12" x14ac:dyDescent="0.25">
      <c r="A12">
        <v>258</v>
      </c>
      <c r="B12" s="9" t="s">
        <v>535</v>
      </c>
      <c r="C12">
        <v>165</v>
      </c>
      <c r="G12">
        <v>258</v>
      </c>
      <c r="H12">
        <v>30</v>
      </c>
      <c r="K12">
        <v>2208</v>
      </c>
      <c r="L12">
        <v>258</v>
      </c>
    </row>
    <row r="13" spans="1:12" x14ac:dyDescent="0.25">
      <c r="A13">
        <v>259</v>
      </c>
      <c r="B13" s="9" t="s">
        <v>536</v>
      </c>
      <c r="C13">
        <v>165</v>
      </c>
      <c r="G13">
        <v>259</v>
      </c>
      <c r="H13">
        <v>30</v>
      </c>
      <c r="K13">
        <v>2209</v>
      </c>
      <c r="L13">
        <v>259</v>
      </c>
    </row>
    <row r="14" spans="1:12" x14ac:dyDescent="0.25">
      <c r="A14">
        <v>260</v>
      </c>
      <c r="B14" s="9" t="s">
        <v>537</v>
      </c>
      <c r="C14">
        <v>165</v>
      </c>
      <c r="G14">
        <v>260</v>
      </c>
      <c r="H14">
        <v>30</v>
      </c>
      <c r="K14">
        <v>2210</v>
      </c>
      <c r="L14">
        <v>260</v>
      </c>
    </row>
    <row r="15" spans="1:12" x14ac:dyDescent="0.25">
      <c r="A15">
        <v>261</v>
      </c>
      <c r="B15" s="9" t="s">
        <v>538</v>
      </c>
      <c r="C15">
        <v>165</v>
      </c>
      <c r="G15">
        <v>261</v>
      </c>
      <c r="H15">
        <v>30</v>
      </c>
      <c r="K15">
        <v>2211</v>
      </c>
      <c r="L15">
        <v>261</v>
      </c>
    </row>
    <row r="16" spans="1:12" x14ac:dyDescent="0.25">
      <c r="A16">
        <v>262</v>
      </c>
      <c r="B16" s="9" t="s">
        <v>539</v>
      </c>
      <c r="C16">
        <v>165</v>
      </c>
      <c r="G16">
        <v>262</v>
      </c>
      <c r="H16">
        <v>30</v>
      </c>
      <c r="K16">
        <v>2212</v>
      </c>
      <c r="L16">
        <v>262</v>
      </c>
    </row>
    <row r="17" spans="1:12" x14ac:dyDescent="0.25">
      <c r="A17">
        <v>263</v>
      </c>
      <c r="B17" s="9" t="s">
        <v>540</v>
      </c>
      <c r="C17">
        <v>165</v>
      </c>
      <c r="G17">
        <v>263</v>
      </c>
      <c r="H17">
        <v>30</v>
      </c>
      <c r="K17">
        <v>2213</v>
      </c>
      <c r="L17">
        <v>263</v>
      </c>
    </row>
    <row r="18" spans="1:12" x14ac:dyDescent="0.25">
      <c r="A18">
        <v>264</v>
      </c>
      <c r="B18" s="9" t="s">
        <v>541</v>
      </c>
      <c r="C18">
        <v>165</v>
      </c>
      <c r="G18">
        <v>264</v>
      </c>
      <c r="H18">
        <v>30</v>
      </c>
      <c r="K18">
        <v>2214</v>
      </c>
      <c r="L18">
        <v>264</v>
      </c>
    </row>
    <row r="19" spans="1:12" x14ac:dyDescent="0.25">
      <c r="A19">
        <v>265</v>
      </c>
      <c r="B19" s="9" t="s">
        <v>542</v>
      </c>
      <c r="C19">
        <v>165</v>
      </c>
      <c r="G19">
        <v>265</v>
      </c>
      <c r="H19">
        <v>30</v>
      </c>
      <c r="K19">
        <v>2215</v>
      </c>
      <c r="L19">
        <v>265</v>
      </c>
    </row>
    <row r="20" spans="1:12" x14ac:dyDescent="0.25">
      <c r="A20">
        <v>266</v>
      </c>
      <c r="B20" s="9" t="s">
        <v>543</v>
      </c>
      <c r="C20">
        <v>165</v>
      </c>
      <c r="G20">
        <v>266</v>
      </c>
      <c r="H20">
        <v>30</v>
      </c>
      <c r="K20">
        <v>2216</v>
      </c>
      <c r="L20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1A</vt:lpstr>
      <vt:lpstr>1B</vt:lpstr>
      <vt:lpstr>2</vt:lpstr>
      <vt:lpstr>3</vt:lpstr>
      <vt:lpstr>Import_svi</vt:lpstr>
      <vt:lpstr>Naljepnice</vt:lpstr>
      <vt:lpstr>Naljepnice AR samo droidi</vt:lpstr>
      <vt:lpstr>Eksperiment1_Mia-3.3.-3R</vt:lpstr>
      <vt:lpstr>Eksperimenti2_Mia-16.3.-1B</vt:lpstr>
      <vt:lpstr>Eksperimenti2_Mia-16.3.-1A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Ivica Boticki</dc:creator>
  <cp:lastModifiedBy>Neven Drljević</cp:lastModifiedBy>
  <cp:lastPrinted>2016-03-31T11:00:03Z</cp:lastPrinted>
  <dcterms:created xsi:type="dcterms:W3CDTF">2016-02-25T18:11:15Z</dcterms:created>
  <dcterms:modified xsi:type="dcterms:W3CDTF">2016-05-14T09:55:32Z</dcterms:modified>
</cp:coreProperties>
</file>