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C:\Users\Roko\Desktop\"/>
    </mc:Choice>
  </mc:AlternateContent>
  <bookViews>
    <workbookView xWindow="0" yWindow="0" windowWidth="28800" windowHeight="10635"/>
  </bookViews>
  <sheets>
    <sheet name="data" sheetId="1" r:id="rId1"/>
  </sheets>
  <definedNames>
    <definedName name="_xlnm._FilterDatabase" localSheetId="0" hidden="1">data!$A$1:$CG$100</definedName>
  </definedNames>
  <calcPr calcId="171027"/>
</workbook>
</file>

<file path=xl/calcChain.xml><?xml version="1.0" encoding="utf-8"?>
<calcChain xmlns="http://schemas.openxmlformats.org/spreadsheetml/2006/main">
  <c r="CJ100" i="1" l="1"/>
  <c r="CJ99" i="1"/>
  <c r="CJ98" i="1"/>
  <c r="CJ97" i="1"/>
  <c r="CJ96" i="1"/>
  <c r="CJ95" i="1"/>
  <c r="CJ94" i="1"/>
  <c r="CJ93" i="1"/>
  <c r="CJ92" i="1"/>
  <c r="CJ91" i="1"/>
  <c r="CJ90" i="1"/>
  <c r="CJ89" i="1"/>
  <c r="CJ88" i="1"/>
  <c r="CJ87" i="1"/>
  <c r="CJ86" i="1"/>
  <c r="CJ85" i="1"/>
  <c r="CJ84" i="1"/>
  <c r="CJ83" i="1"/>
  <c r="CJ82" i="1"/>
  <c r="CJ81" i="1"/>
  <c r="CJ80" i="1"/>
  <c r="CJ79" i="1"/>
  <c r="CJ78" i="1"/>
  <c r="CJ77" i="1"/>
  <c r="CJ76" i="1"/>
  <c r="CJ75" i="1"/>
  <c r="CJ74" i="1"/>
  <c r="CJ73" i="1"/>
  <c r="CJ72" i="1"/>
  <c r="CJ71" i="1"/>
  <c r="CJ70" i="1"/>
  <c r="CJ69" i="1"/>
  <c r="CJ68" i="1"/>
  <c r="CJ67" i="1"/>
  <c r="CJ66" i="1"/>
  <c r="CJ65" i="1"/>
  <c r="CJ64" i="1"/>
  <c r="CJ63" i="1"/>
  <c r="CJ62" i="1"/>
  <c r="CJ61" i="1"/>
  <c r="CJ60" i="1"/>
  <c r="CJ59" i="1"/>
  <c r="CJ58" i="1"/>
  <c r="CJ57" i="1"/>
  <c r="CJ56" i="1"/>
  <c r="CJ55" i="1"/>
  <c r="CJ54" i="1"/>
  <c r="CJ53" i="1"/>
  <c r="CJ52" i="1"/>
  <c r="CJ51" i="1"/>
  <c r="CJ50" i="1"/>
  <c r="CJ49" i="1"/>
  <c r="CJ48" i="1"/>
  <c r="CJ47" i="1"/>
  <c r="CJ46" i="1"/>
  <c r="CJ45" i="1"/>
  <c r="CJ44" i="1"/>
  <c r="CJ43" i="1"/>
  <c r="CJ42" i="1"/>
  <c r="CJ41" i="1"/>
  <c r="CJ40" i="1"/>
  <c r="CJ39" i="1"/>
  <c r="CJ38" i="1"/>
  <c r="CJ37" i="1"/>
  <c r="CJ36" i="1"/>
  <c r="CJ35" i="1"/>
  <c r="CJ34" i="1"/>
  <c r="CJ33" i="1"/>
  <c r="CJ32" i="1"/>
  <c r="CJ31" i="1"/>
  <c r="CJ30" i="1"/>
  <c r="CJ29" i="1"/>
  <c r="CJ28" i="1"/>
  <c r="CJ27" i="1"/>
  <c r="CJ26" i="1"/>
  <c r="CJ25" i="1"/>
  <c r="CJ24" i="1"/>
  <c r="CJ23" i="1"/>
  <c r="CJ22" i="1"/>
  <c r="CJ21" i="1"/>
  <c r="CJ20" i="1"/>
  <c r="CJ19" i="1"/>
  <c r="CJ18" i="1"/>
  <c r="CJ17" i="1"/>
  <c r="CJ16" i="1"/>
  <c r="CJ15" i="1"/>
  <c r="CJ14" i="1"/>
  <c r="CJ13" i="1"/>
  <c r="CJ12" i="1"/>
  <c r="CJ11" i="1"/>
  <c r="CJ10" i="1"/>
  <c r="CJ9" i="1"/>
  <c r="CJ8" i="1"/>
  <c r="CJ7" i="1"/>
  <c r="CJ6" i="1"/>
  <c r="CJ5" i="1"/>
  <c r="CJ4" i="1"/>
  <c r="CJ3" i="1"/>
  <c r="CJ2" i="1"/>
  <c r="CI100" i="1"/>
  <c r="CI99" i="1"/>
  <c r="CI98" i="1"/>
  <c r="CI97" i="1"/>
  <c r="CI96" i="1"/>
  <c r="CI95" i="1"/>
  <c r="CI94" i="1"/>
  <c r="CI93" i="1"/>
  <c r="CI92" i="1"/>
  <c r="CI91" i="1"/>
  <c r="CI90" i="1"/>
  <c r="CI89" i="1"/>
  <c r="CI88" i="1"/>
  <c r="CI87" i="1"/>
  <c r="CI86" i="1"/>
  <c r="CI85" i="1"/>
  <c r="CI84" i="1"/>
  <c r="CI83" i="1"/>
  <c r="CI82" i="1"/>
  <c r="CI81" i="1"/>
  <c r="CI80" i="1"/>
  <c r="CI79" i="1"/>
  <c r="CI78" i="1"/>
  <c r="CI77" i="1"/>
  <c r="CI76" i="1"/>
  <c r="CI75" i="1"/>
  <c r="CI74" i="1"/>
  <c r="CI73" i="1"/>
  <c r="CI72" i="1"/>
  <c r="CI71" i="1"/>
  <c r="CI70" i="1"/>
  <c r="CI69" i="1"/>
  <c r="CI68" i="1"/>
  <c r="CI67" i="1"/>
  <c r="CI66" i="1"/>
  <c r="CI65" i="1"/>
  <c r="CI64" i="1"/>
  <c r="CI63" i="1"/>
  <c r="CI62" i="1"/>
  <c r="CI61" i="1"/>
  <c r="CI60" i="1"/>
  <c r="CI59" i="1"/>
  <c r="CI58" i="1"/>
  <c r="CI57" i="1"/>
  <c r="CI56" i="1"/>
  <c r="CI55" i="1"/>
  <c r="CI54" i="1"/>
  <c r="CI53" i="1"/>
  <c r="CI52" i="1"/>
  <c r="CI51" i="1"/>
  <c r="CI50" i="1"/>
  <c r="CI49" i="1"/>
  <c r="CI48" i="1"/>
  <c r="CI47" i="1"/>
  <c r="CI46" i="1"/>
  <c r="CI45" i="1"/>
  <c r="CI44" i="1"/>
  <c r="CI43" i="1"/>
  <c r="CI42" i="1"/>
  <c r="CI41" i="1"/>
  <c r="CI40" i="1"/>
  <c r="CI39" i="1"/>
  <c r="CI38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CI5" i="1"/>
  <c r="CI4" i="1"/>
  <c r="CI3" i="1"/>
  <c r="CI2" i="1"/>
  <c r="CK100" i="1" l="1"/>
  <c r="CK19" i="1"/>
  <c r="CK99" i="1"/>
  <c r="CK98" i="1"/>
  <c r="CK97" i="1"/>
  <c r="CK96" i="1"/>
  <c r="CK95" i="1"/>
  <c r="CK94" i="1"/>
  <c r="CK93" i="1"/>
  <c r="CK92" i="1"/>
  <c r="CK91" i="1"/>
  <c r="CK90" i="1"/>
  <c r="CK89" i="1"/>
  <c r="CK88" i="1"/>
  <c r="CK87" i="1"/>
  <c r="CK86" i="1"/>
  <c r="CK85" i="1"/>
  <c r="CK84" i="1"/>
  <c r="CK83" i="1"/>
  <c r="CK82" i="1"/>
  <c r="CK81" i="1"/>
  <c r="CK80" i="1"/>
  <c r="CK79" i="1"/>
  <c r="CK78" i="1"/>
  <c r="CK77" i="1"/>
  <c r="CK76" i="1"/>
  <c r="CK75" i="1"/>
  <c r="CK74" i="1"/>
  <c r="CK73" i="1"/>
  <c r="CK72" i="1"/>
  <c r="CK71" i="1"/>
  <c r="CK70" i="1"/>
  <c r="CK69" i="1"/>
  <c r="CK68" i="1"/>
  <c r="CK67" i="1"/>
  <c r="CK66" i="1"/>
  <c r="CK65" i="1"/>
  <c r="CK64" i="1"/>
  <c r="CK63" i="1"/>
  <c r="CK62" i="1"/>
  <c r="CK61" i="1"/>
  <c r="CK60" i="1"/>
  <c r="CK59" i="1"/>
  <c r="CK58" i="1"/>
  <c r="CK57" i="1"/>
  <c r="CK56" i="1"/>
  <c r="CK55" i="1"/>
  <c r="CK54" i="1"/>
  <c r="CK53" i="1"/>
  <c r="CK52" i="1"/>
  <c r="CK51" i="1"/>
  <c r="CK50" i="1"/>
  <c r="CK49" i="1"/>
  <c r="CK48" i="1"/>
  <c r="CK47" i="1"/>
  <c r="CK46" i="1"/>
  <c r="CK45" i="1"/>
  <c r="CK44" i="1"/>
  <c r="CK43" i="1"/>
  <c r="CK42" i="1"/>
  <c r="CK41" i="1"/>
  <c r="CK40" i="1"/>
  <c r="CK39" i="1"/>
  <c r="CK38" i="1"/>
  <c r="CK37" i="1"/>
  <c r="CK36" i="1"/>
  <c r="CK35" i="1"/>
  <c r="CK34" i="1"/>
  <c r="CK33" i="1"/>
  <c r="CK32" i="1"/>
  <c r="CK31" i="1"/>
  <c r="CK30" i="1"/>
  <c r="CK29" i="1"/>
  <c r="CK28" i="1"/>
  <c r="CK27" i="1"/>
  <c r="CK26" i="1"/>
  <c r="CK25" i="1"/>
  <c r="CK24" i="1"/>
  <c r="CK23" i="1"/>
  <c r="CK22" i="1"/>
  <c r="CK21" i="1"/>
  <c r="CK20" i="1"/>
  <c r="CK18" i="1"/>
  <c r="CK17" i="1"/>
  <c r="CK16" i="1"/>
  <c r="CK15" i="1"/>
  <c r="CK14" i="1"/>
  <c r="CK13" i="1"/>
  <c r="CK12" i="1"/>
  <c r="CK11" i="1"/>
  <c r="CK10" i="1"/>
  <c r="CK9" i="1"/>
  <c r="CK8" i="1"/>
  <c r="CK7" i="1"/>
  <c r="CK6" i="1"/>
  <c r="CK5" i="1"/>
  <c r="CK4" i="1"/>
  <c r="CK3" i="1"/>
  <c r="CK2" i="1"/>
</calcChain>
</file>

<file path=xl/sharedStrings.xml><?xml version="1.0" encoding="utf-8"?>
<sst xmlns="http://schemas.openxmlformats.org/spreadsheetml/2006/main" count="6751" uniqueCount="192">
  <si>
    <t>name</t>
  </si>
  <si>
    <t>06.05.2016_competitive</t>
  </si>
  <si>
    <t>02.06.2016_competitive</t>
  </si>
  <si>
    <t>20.06.2016_collaborative</t>
  </si>
  <si>
    <t>12.07.2016_collaborative</t>
  </si>
  <si>
    <t>12.07.2016_competitive</t>
  </si>
  <si>
    <t>28.10.2016_collaborative</t>
  </si>
  <si>
    <t>06.11.2016_collaborative</t>
  </si>
  <si>
    <t>07.11.2016_collaborative</t>
  </si>
  <si>
    <t>01.12.2016_collaborative</t>
  </si>
  <si>
    <t>07.12.2016_collaborative</t>
  </si>
  <si>
    <t>08.12.2016_collaborative</t>
  </si>
  <si>
    <t>09.12.2016_collaborative</t>
  </si>
  <si>
    <t>03.01.2017_collaborative</t>
  </si>
  <si>
    <t>04.01.2017_collaborative</t>
  </si>
  <si>
    <t>17.01.2017_collaborative</t>
  </si>
  <si>
    <t>18.01.2017_collaborative</t>
  </si>
  <si>
    <t>19.01.2017_collaborative</t>
  </si>
  <si>
    <t>01.02.2017_collaborative</t>
  </si>
  <si>
    <t>21.02.2017_collaborative</t>
  </si>
  <si>
    <t>22.02.2017_collaborative</t>
  </si>
  <si>
    <t>01.03.2017_AR</t>
  </si>
  <si>
    <t>02.03.2017_AR</t>
  </si>
  <si>
    <t>03.03.2017_AR</t>
  </si>
  <si>
    <t>23.03.2017_collaborative</t>
  </si>
  <si>
    <t>10.04.2017_AR</t>
  </si>
  <si>
    <t>11.04.2017_AR</t>
  </si>
  <si>
    <t>12.04.2017_AR</t>
  </si>
  <si>
    <t>09.05.2017_AR</t>
  </si>
  <si>
    <t>11.05.2017_AR</t>
  </si>
  <si>
    <t>24.05.2017_AR</t>
  </si>
  <si>
    <t>25.05.2017_AR</t>
  </si>
  <si>
    <t>ADRIJANA BERC</t>
  </si>
  <si>
    <t xml:space="preserve"> </t>
  </si>
  <si>
    <t>ANDRIJA BILOGLAV</t>
  </si>
  <si>
    <t>JOSIP BILOGLAV</t>
  </si>
  <si>
    <t>JANA  BRADVICA</t>
  </si>
  <si>
    <t>DINO BRANICA</t>
  </si>
  <si>
    <t>ANTONIJA BUCKAL</t>
  </si>
  <si>
    <t>DORA BUKAL</t>
  </si>
  <si>
    <t>LORENA DOMANCIC</t>
  </si>
  <si>
    <t>IVAN DOMINIK DIVJAK</t>
  </si>
  <si>
    <t>LEA DVOJKOVIC</t>
  </si>
  <si>
    <t>TONKA FERDEBAR</t>
  </si>
  <si>
    <t>LUKA FRANIC</t>
  </si>
  <si>
    <t>ANJA GARDIJAN</t>
  </si>
  <si>
    <t>FRAN GLAS</t>
  </si>
  <si>
    <t>GITA HAINSKI</t>
  </si>
  <si>
    <t>LEON  HOTKO</t>
  </si>
  <si>
    <t>LUKA HOTKO</t>
  </si>
  <si>
    <t>MIA HRANILOVIC</t>
  </si>
  <si>
    <t>ADRIAN HRUBI</t>
  </si>
  <si>
    <t>GABRIELA JAGAR</t>
  </si>
  <si>
    <t>ISKRA JAKOB</t>
  </si>
  <si>
    <t>LOVRO KAIC</t>
  </si>
  <si>
    <t>OMAR KARALIC</t>
  </si>
  <si>
    <t>LARA MAJER</t>
  </si>
  <si>
    <t>NATALY  MARCAPAN-KRESNIK</t>
  </si>
  <si>
    <t>VILIM MARTINIS</t>
  </si>
  <si>
    <t>LEON MATE</t>
  </si>
  <si>
    <t>NINA MATE</t>
  </si>
  <si>
    <t>MATEA MELHER</t>
  </si>
  <si>
    <t>NIKO NOVAK</t>
  </si>
  <si>
    <t>JANA OSMAK</t>
  </si>
  <si>
    <t>FILIP PERESTEGI</t>
  </si>
  <si>
    <t>LOVRO PERESTEGI</t>
  </si>
  <si>
    <t>FILIP SEKELJ</t>
  </si>
  <si>
    <t>KRUNO  TRESK</t>
  </si>
  <si>
    <t>MATEJ  VALER</t>
  </si>
  <si>
    <t>JURAJ VUGRIN</t>
  </si>
  <si>
    <t>VITO ZAVRTNIK</t>
  </si>
  <si>
    <t>razred</t>
  </si>
  <si>
    <t>2a</t>
  </si>
  <si>
    <t>AZER BEŠIĆ</t>
  </si>
  <si>
    <t>GABRIELA CIKAČ</t>
  </si>
  <si>
    <t>LANA DOBRILOVIĆ</t>
  </si>
  <si>
    <t>ANJA DŽAKULA</t>
  </si>
  <si>
    <t>STJEPAN FILOTAŠ</t>
  </si>
  <si>
    <t>ANDELON FILOTAŠ </t>
  </si>
  <si>
    <t>VITA JERGOVIĆ</t>
  </si>
  <si>
    <t>KORINA MATOŠEVIĆ</t>
  </si>
  <si>
    <t>BARBARA MIKOVIĆ</t>
  </si>
  <si>
    <t>LARA SHEK BRNARDIĆ</t>
  </si>
  <si>
    <t>MARIN ŠEGO</t>
  </si>
  <si>
    <t>LAURA ŠUG</t>
  </si>
  <si>
    <t>ROBERTINO VEREŠ</t>
  </si>
  <si>
    <t>KIRA DIADRA VOJNOVIĆ</t>
  </si>
  <si>
    <t>2b</t>
  </si>
  <si>
    <t xml:space="preserve">EVA GLAVINIĆ </t>
  </si>
  <si>
    <t xml:space="preserve">LUKA ĐURIK </t>
  </si>
  <si>
    <t xml:space="preserve">BENJAMIN HADŽIĆ </t>
  </si>
  <si>
    <t>ANAMARIJA KNEŽEVIĆ</t>
  </si>
  <si>
    <t xml:space="preserve">KATARINA OMRČANIN </t>
  </si>
  <si>
    <t>DINO RIZVANOVIĆ ALVEDIN</t>
  </si>
  <si>
    <t xml:space="preserve">ELA SORIĆ </t>
  </si>
  <si>
    <t>EVA SORIĆ</t>
  </si>
  <si>
    <t>IVAN VUJNOVIĆ</t>
  </si>
  <si>
    <t>EMANUEL  ČAJSA</t>
  </si>
  <si>
    <t>STIPE  ČULINA</t>
  </si>
  <si>
    <t>BRUNO  ĆURČIĆ</t>
  </si>
  <si>
    <t>VITO   ĆURČIĆ</t>
  </si>
  <si>
    <t>IVAN  DEKOVIĆ</t>
  </si>
  <si>
    <t>ALAN  DIKLIĆ</t>
  </si>
  <si>
    <t>ROKO  DUIĆ</t>
  </si>
  <si>
    <t>FRAN  FILIPOVIĆ</t>
  </si>
  <si>
    <t>ALINA  JANDRIĆ</t>
  </si>
  <si>
    <t>MAŠA  KLASIĆ</t>
  </si>
  <si>
    <t>SIMON  LEŠ</t>
  </si>
  <si>
    <t>LEONARDA  MARKUŠIĆ</t>
  </si>
  <si>
    <t>LUKA  PRUGOVEČKI</t>
  </si>
  <si>
    <t>MARKS RUDOLF  RENDULIĆ</t>
  </si>
  <si>
    <t>MARINA SARAJČIĆ</t>
  </si>
  <si>
    <t>LEON  VUJNOVIĆ</t>
  </si>
  <si>
    <t>DOMAGOJ ŠUK</t>
  </si>
  <si>
    <t>VITO ŠIMIĆ</t>
  </si>
  <si>
    <t>TENA SAHER MIJATOVIĆ</t>
  </si>
  <si>
    <t>TARA POMAHAČ</t>
  </si>
  <si>
    <t>DAMIAN PAVLOVIĆ</t>
  </si>
  <si>
    <t>HELENA MIHALJEVIĆ</t>
  </si>
  <si>
    <t>EMA SARA MATOŠEVIĆ</t>
  </si>
  <si>
    <t>STJEPAN MARKUŠIĆ</t>
  </si>
  <si>
    <t>PATRIK KRIŽANČIĆ</t>
  </si>
  <si>
    <t>NATALI KONJAČIĆ</t>
  </si>
  <si>
    <t>MARKO KNEŽEVIĆ</t>
  </si>
  <si>
    <t>VITO IVANUŠ</t>
  </si>
  <si>
    <t>ISAK HASANOVIĆ</t>
  </si>
  <si>
    <t>HANA HADŽIĆ</t>
  </si>
  <si>
    <t>NIKO ČERINA</t>
  </si>
  <si>
    <t>NOA ČASTEK</t>
  </si>
  <si>
    <t>NICOLLE BLAŽINIĆ</t>
  </si>
  <si>
    <t>DOMINIK BILUŠ BERGLUND</t>
  </si>
  <si>
    <t>?????</t>
  </si>
  <si>
    <t>DAVID MATOŠEVIĆ</t>
  </si>
  <si>
    <t>TENA  BUKOVAC</t>
  </si>
  <si>
    <t>TIA  BRTAN</t>
  </si>
  <si>
    <t>30.03.2016_competitive</t>
  </si>
  <si>
    <t>31.03.2016_competitive</t>
  </si>
  <si>
    <t>01.04.2016_competitive</t>
  </si>
  <si>
    <t>07.04.2016_competitive</t>
  </si>
  <si>
    <t>08.04.2016_competitive</t>
  </si>
  <si>
    <t>21.04.2016_competitive</t>
  </si>
  <si>
    <t>26.04.2016_competitive</t>
  </si>
  <si>
    <t>28.04.2016_competitive</t>
  </si>
  <si>
    <t>02.05.2016_competitive</t>
  </si>
  <si>
    <t>03.05.2016_competitive</t>
  </si>
  <si>
    <t>12.05.2016_competitive</t>
  </si>
  <si>
    <t>03.06.2016_competitive</t>
  </si>
  <si>
    <t>06.06.2016_competitive</t>
  </si>
  <si>
    <t>16.09.2016_competitive</t>
  </si>
  <si>
    <t>27.10.2016_competitive</t>
  </si>
  <si>
    <t>28.10.2016_competitive</t>
  </si>
  <si>
    <t>14.11.2016_competitive</t>
  </si>
  <si>
    <t>16.11.2016_competitive</t>
  </si>
  <si>
    <t>17.11.2016_competitive</t>
  </si>
  <si>
    <t>24.11.2016_competitive</t>
  </si>
  <si>
    <t>30.11.2016_competitive</t>
  </si>
  <si>
    <t>01.12.2016_competitive</t>
  </si>
  <si>
    <t>09.12.2016_competitive</t>
  </si>
  <si>
    <t>21.12.2016_competitive</t>
  </si>
  <si>
    <t>22.12.2016_competitive</t>
  </si>
  <si>
    <t>04.01.2017_competitive</t>
  </si>
  <si>
    <t>25.01.2017_competitive</t>
  </si>
  <si>
    <t>26.01.2017_competitive</t>
  </si>
  <si>
    <t>30.01.2017_competitive</t>
  </si>
  <si>
    <t>31.01.2017_competitive</t>
  </si>
  <si>
    <t>17.02.2017_competitive</t>
  </si>
  <si>
    <t>26.02.2017_competitive</t>
  </si>
  <si>
    <t>27.02.2017_competitive</t>
  </si>
  <si>
    <t>28.02.2017_competitive</t>
  </si>
  <si>
    <t>01.03.2017_competitive</t>
  </si>
  <si>
    <t>02.03.2017_competitive</t>
  </si>
  <si>
    <t>03.03.2017_competitive</t>
  </si>
  <si>
    <t>16.03.2017_competitive</t>
  </si>
  <si>
    <t>21.03.2017_competitive</t>
  </si>
  <si>
    <t>22.03.2017_competitive</t>
  </si>
  <si>
    <t>04.04.2017_competitive</t>
  </si>
  <si>
    <t>09.05.2017_competitive</t>
  </si>
  <si>
    <t>10.05.2017_competitive</t>
  </si>
  <si>
    <t>12.05.2017_competitive</t>
  </si>
  <si>
    <t>21.05.2017_competitive</t>
  </si>
  <si>
    <t>22.05.2017_competitive</t>
  </si>
  <si>
    <t>26.05.2017_competitive</t>
  </si>
  <si>
    <t>JAKOV  ŠIMIĆ</t>
  </si>
  <si>
    <t>Akademski uspjeh (1-10)</t>
  </si>
  <si>
    <t>Angažiranost</t>
  </si>
  <si>
    <t>Socio-ekonomski status</t>
  </si>
  <si>
    <t>Radne navike</t>
  </si>
  <si>
    <t>Podrška obitelji</t>
  </si>
  <si>
    <t>AVG_COMP</t>
  </si>
  <si>
    <t>AVG_COLLAB</t>
  </si>
  <si>
    <t>AVG_AR</t>
  </si>
  <si>
    <t>AVG_TOTAL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</si>
</sst>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Isticanje1" xfId="19" builtinId="30" customBuiltin="1"/>
    <cellStyle name="20% - Isticanje2" xfId="23" builtinId="34" customBuiltin="1"/>
    <cellStyle name="20% - Isticanje3" xfId="27" builtinId="38" customBuiltin="1"/>
    <cellStyle name="20% - Isticanje4" xfId="31" builtinId="42" customBuiltin="1"/>
    <cellStyle name="20% - Isticanje5" xfId="35" builtinId="46" customBuiltin="1"/>
    <cellStyle name="20% - Isticanje6" xfId="39" builtinId="50" customBuiltin="1"/>
    <cellStyle name="40% - Isticanje1" xfId="20" builtinId="31" customBuiltin="1"/>
    <cellStyle name="40% - Isticanje2" xfId="24" builtinId="35" customBuiltin="1"/>
    <cellStyle name="40% - Isticanje3" xfId="28" builtinId="39" customBuiltin="1"/>
    <cellStyle name="40% - Isticanje4" xfId="32" builtinId="43" customBuiltin="1"/>
    <cellStyle name="40% - Isticanje5" xfId="36" builtinId="47" customBuiltin="1"/>
    <cellStyle name="40% - Isticanje6" xfId="40" builtinId="51" customBuiltin="1"/>
    <cellStyle name="60% - Isticanje1" xfId="21" builtinId="32" customBuiltin="1"/>
    <cellStyle name="60% - Isticanje2" xfId="25" builtinId="36" customBuiltin="1"/>
    <cellStyle name="60% - Isticanje3" xfId="29" builtinId="40" customBuiltin="1"/>
    <cellStyle name="60% - Isticanje4" xfId="33" builtinId="44" customBuiltin="1"/>
    <cellStyle name="60% - Isticanje5" xfId="37" builtinId="48" customBuiltin="1"/>
    <cellStyle name="60% - Isticanje6" xfId="41" builtinId="52" customBuiltin="1"/>
    <cellStyle name="Bilješka" xfId="15" builtinId="10" customBuiltin="1"/>
    <cellStyle name="Dobro" xfId="6" builtinId="26" customBuiltin="1"/>
    <cellStyle name="Isticanje1" xfId="18" builtinId="29" customBuiltin="1"/>
    <cellStyle name="Isticanje2" xfId="22" builtinId="33" customBuiltin="1"/>
    <cellStyle name="Isticanje3" xfId="26" builtinId="37" customBuiltin="1"/>
    <cellStyle name="Isticanje4" xfId="30" builtinId="41" customBuiltin="1"/>
    <cellStyle name="Isticanje5" xfId="34" builtinId="45" customBuiltin="1"/>
    <cellStyle name="Isticanje6" xfId="38" builtinId="49" customBuiltin="1"/>
    <cellStyle name="Izlaz" xfId="10" builtinId="21" customBuiltin="1"/>
    <cellStyle name="Izračun" xfId="11" builtinId="22" customBuiltin="1"/>
    <cellStyle name="Loše" xfId="7" builtinId="27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eutralno" xfId="8" builtinId="28" customBuiltin="1"/>
    <cellStyle name="Normalno" xfId="0" builtinId="0"/>
    <cellStyle name="Povezana ćelija" xfId="12" builtinId="24" customBuiltin="1"/>
    <cellStyle name="Provjera ćelije" xfId="13" builtinId="23" customBuiltin="1"/>
    <cellStyle name="Tekst objašnjenja" xfId="16" builtinId="53" customBuiltin="1"/>
    <cellStyle name="Tekst upozorenja" xfId="14" builtinId="11" customBuiltin="1"/>
    <cellStyle name="Ukupni zbroj" xfId="17" builtinId="25" customBuiltin="1"/>
    <cellStyle name="Unos" xfId="9" builtinId="2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00"/>
  <sheetViews>
    <sheetView tabSelected="1" topLeftCell="CA1" workbookViewId="0">
      <selection activeCell="CH13" sqref="CH13"/>
    </sheetView>
  </sheetViews>
  <sheetFormatPr defaultRowHeight="15" x14ac:dyDescent="0.25"/>
  <cols>
    <col min="1" max="1" width="29.42578125" customWidth="1"/>
    <col min="2" max="2" width="12" customWidth="1"/>
    <col min="3" max="3" width="22.140625" customWidth="1"/>
    <col min="4" max="4" width="20.42578125" customWidth="1"/>
    <col min="5" max="5" width="19" customWidth="1"/>
    <col min="6" max="6" width="15" customWidth="1"/>
    <col min="7" max="7" width="22" customWidth="1"/>
    <col min="8" max="86" width="23.85546875" customWidth="1"/>
    <col min="87" max="87" width="11.28515625" bestFit="1" customWidth="1"/>
    <col min="88" max="88" width="12.5703125" bestFit="1" customWidth="1"/>
    <col min="89" max="89" width="8.28515625" bestFit="1" customWidth="1"/>
    <col min="90" max="90" width="13.140625" customWidth="1"/>
  </cols>
  <sheetData>
    <row r="1" spans="1:90" x14ac:dyDescent="0.25">
      <c r="A1" t="s">
        <v>0</v>
      </c>
      <c r="B1" t="s">
        <v>71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</v>
      </c>
      <c r="S1" t="s">
        <v>145</v>
      </c>
      <c r="T1" t="s">
        <v>2</v>
      </c>
      <c r="U1" t="s">
        <v>146</v>
      </c>
      <c r="V1" t="s">
        <v>147</v>
      </c>
      <c r="W1" t="s">
        <v>3</v>
      </c>
      <c r="X1" t="s">
        <v>5</v>
      </c>
      <c r="Y1" t="s">
        <v>4</v>
      </c>
      <c r="Z1" t="s">
        <v>148</v>
      </c>
      <c r="AA1" t="s">
        <v>149</v>
      </c>
      <c r="AB1" t="s">
        <v>6</v>
      </c>
      <c r="AC1" t="s">
        <v>150</v>
      </c>
      <c r="AD1" t="s">
        <v>7</v>
      </c>
      <c r="AE1" t="s">
        <v>8</v>
      </c>
      <c r="AF1" t="s">
        <v>151</v>
      </c>
      <c r="AG1" t="s">
        <v>152</v>
      </c>
      <c r="AH1" t="s">
        <v>153</v>
      </c>
      <c r="AI1" t="s">
        <v>154</v>
      </c>
      <c r="AJ1" t="s">
        <v>155</v>
      </c>
      <c r="AK1" t="s">
        <v>156</v>
      </c>
      <c r="AL1" t="s">
        <v>9</v>
      </c>
      <c r="AM1" t="s">
        <v>10</v>
      </c>
      <c r="AN1" t="s">
        <v>11</v>
      </c>
      <c r="AO1" t="s">
        <v>157</v>
      </c>
      <c r="AP1" t="s">
        <v>12</v>
      </c>
      <c r="AQ1" t="s">
        <v>158</v>
      </c>
      <c r="AR1" t="s">
        <v>159</v>
      </c>
      <c r="AS1" t="s">
        <v>13</v>
      </c>
      <c r="AT1" t="s">
        <v>14</v>
      </c>
      <c r="AU1" t="s">
        <v>160</v>
      </c>
      <c r="AV1" t="s">
        <v>15</v>
      </c>
      <c r="AW1" t="s">
        <v>16</v>
      </c>
      <c r="AX1" t="s">
        <v>17</v>
      </c>
      <c r="AY1" t="s">
        <v>161</v>
      </c>
      <c r="AZ1" t="s">
        <v>162</v>
      </c>
      <c r="BA1" t="s">
        <v>163</v>
      </c>
      <c r="BB1" t="s">
        <v>164</v>
      </c>
      <c r="BC1" t="s">
        <v>18</v>
      </c>
      <c r="BD1" t="s">
        <v>165</v>
      </c>
      <c r="BE1" t="s">
        <v>19</v>
      </c>
      <c r="BF1" t="s">
        <v>20</v>
      </c>
      <c r="BG1" t="s">
        <v>166</v>
      </c>
      <c r="BH1" t="s">
        <v>167</v>
      </c>
      <c r="BI1" t="s">
        <v>168</v>
      </c>
      <c r="BJ1" t="s">
        <v>169</v>
      </c>
      <c r="BK1" t="s">
        <v>21</v>
      </c>
      <c r="BL1" t="s">
        <v>22</v>
      </c>
      <c r="BM1" t="s">
        <v>170</v>
      </c>
      <c r="BN1" t="s">
        <v>23</v>
      </c>
      <c r="BO1" t="s">
        <v>171</v>
      </c>
      <c r="BP1" t="s">
        <v>172</v>
      </c>
      <c r="BQ1" t="s">
        <v>173</v>
      </c>
      <c r="BR1" t="s">
        <v>174</v>
      </c>
      <c r="BS1" t="s">
        <v>24</v>
      </c>
      <c r="BT1" t="s">
        <v>175</v>
      </c>
      <c r="BU1" t="s">
        <v>25</v>
      </c>
      <c r="BV1" t="s">
        <v>26</v>
      </c>
      <c r="BW1" t="s">
        <v>27</v>
      </c>
      <c r="BX1" t="s">
        <v>28</v>
      </c>
      <c r="BY1" t="s">
        <v>176</v>
      </c>
      <c r="BZ1" t="s">
        <v>177</v>
      </c>
      <c r="CA1" t="s">
        <v>29</v>
      </c>
      <c r="CB1" t="s">
        <v>178</v>
      </c>
      <c r="CC1" t="s">
        <v>179</v>
      </c>
      <c r="CD1" t="s">
        <v>180</v>
      </c>
      <c r="CE1" t="s">
        <v>30</v>
      </c>
      <c r="CF1" t="s">
        <v>31</v>
      </c>
      <c r="CG1" t="s">
        <v>181</v>
      </c>
      <c r="CI1" t="s">
        <v>188</v>
      </c>
      <c r="CJ1" t="s">
        <v>189</v>
      </c>
      <c r="CK1" t="s">
        <v>190</v>
      </c>
      <c r="CL1" t="s">
        <v>191</v>
      </c>
    </row>
    <row r="2" spans="1:90" x14ac:dyDescent="0.25">
      <c r="A2" t="s">
        <v>32</v>
      </c>
      <c r="B2" t="s">
        <v>87</v>
      </c>
      <c r="H2" t="s">
        <v>33</v>
      </c>
      <c r="I2" t="s">
        <v>33</v>
      </c>
      <c r="J2" t="s">
        <v>33</v>
      </c>
      <c r="K2" t="s">
        <v>33</v>
      </c>
      <c r="L2">
        <v>1</v>
      </c>
      <c r="M2">
        <v>0.70454545454545403</v>
      </c>
      <c r="N2" t="s">
        <v>33</v>
      </c>
      <c r="O2" t="s">
        <v>33</v>
      </c>
      <c r="P2" t="s">
        <v>33</v>
      </c>
      <c r="Q2" t="s">
        <v>33</v>
      </c>
      <c r="R2">
        <v>0.55736786527725002</v>
      </c>
      <c r="S2" t="s">
        <v>33</v>
      </c>
      <c r="T2">
        <v>0.83333333333333304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>
        <v>0.399337477181336</v>
      </c>
      <c r="AD2" t="s">
        <v>33</v>
      </c>
      <c r="AE2" t="s">
        <v>33</v>
      </c>
      <c r="AF2" t="s">
        <v>33</v>
      </c>
      <c r="AG2" t="s">
        <v>33</v>
      </c>
      <c r="AH2">
        <v>0.952380952380952</v>
      </c>
      <c r="AI2" t="s">
        <v>33</v>
      </c>
      <c r="AJ2" t="s">
        <v>33</v>
      </c>
      <c r="AK2">
        <v>1</v>
      </c>
      <c r="AL2" t="s">
        <v>33</v>
      </c>
      <c r="AM2" t="s">
        <v>33</v>
      </c>
      <c r="AN2">
        <v>0.40082134264727198</v>
      </c>
      <c r="AO2" t="s">
        <v>33</v>
      </c>
      <c r="AP2" t="s">
        <v>33</v>
      </c>
      <c r="AQ2" t="s">
        <v>33</v>
      </c>
      <c r="AR2">
        <v>0.78358208955223796</v>
      </c>
      <c r="AS2" t="s">
        <v>33</v>
      </c>
      <c r="AT2" t="s">
        <v>33</v>
      </c>
      <c r="AU2" t="s">
        <v>33</v>
      </c>
      <c r="AV2" t="s">
        <v>33</v>
      </c>
      <c r="AW2" t="s">
        <v>33</v>
      </c>
      <c r="AX2">
        <v>0</v>
      </c>
      <c r="AY2" t="s">
        <v>33</v>
      </c>
      <c r="AZ2" t="s">
        <v>33</v>
      </c>
      <c r="BA2" t="s">
        <v>33</v>
      </c>
      <c r="BB2" t="s">
        <v>33</v>
      </c>
      <c r="BC2" t="s">
        <v>33</v>
      </c>
      <c r="BD2" t="s">
        <v>33</v>
      </c>
      <c r="BE2" t="s">
        <v>33</v>
      </c>
      <c r="BF2" t="s">
        <v>33</v>
      </c>
      <c r="BG2" t="s">
        <v>33</v>
      </c>
      <c r="BH2" t="s">
        <v>33</v>
      </c>
      <c r="BI2" t="s">
        <v>33</v>
      </c>
      <c r="BJ2" t="s">
        <v>33</v>
      </c>
      <c r="BK2" t="s">
        <v>33</v>
      </c>
      <c r="BL2" t="s">
        <v>33</v>
      </c>
      <c r="BM2" t="s">
        <v>33</v>
      </c>
      <c r="BN2" t="s">
        <v>33</v>
      </c>
      <c r="BO2" t="s">
        <v>33</v>
      </c>
      <c r="BP2" t="s">
        <v>33</v>
      </c>
      <c r="BQ2" t="s">
        <v>33</v>
      </c>
      <c r="BR2" t="s">
        <v>33</v>
      </c>
      <c r="BS2" t="s">
        <v>33</v>
      </c>
      <c r="BT2" t="s">
        <v>33</v>
      </c>
      <c r="BU2" t="s">
        <v>33</v>
      </c>
      <c r="BV2" t="s">
        <v>33</v>
      </c>
      <c r="BW2" t="s">
        <v>33</v>
      </c>
      <c r="BX2" t="s">
        <v>33</v>
      </c>
      <c r="BY2" t="s">
        <v>33</v>
      </c>
      <c r="BZ2" t="s">
        <v>33</v>
      </c>
      <c r="CA2" t="s">
        <v>33</v>
      </c>
      <c r="CB2" t="s">
        <v>33</v>
      </c>
      <c r="CC2" t="s">
        <v>33</v>
      </c>
      <c r="CD2" t="s">
        <v>33</v>
      </c>
      <c r="CE2" t="s">
        <v>33</v>
      </c>
      <c r="CF2" t="s">
        <v>33</v>
      </c>
      <c r="CG2" t="s">
        <v>33</v>
      </c>
      <c r="CI2">
        <f>IFERROR(AVERAGE(CG2,CD2,CC2,CB2,BZ2,BY2,BT2,BR2,BQ2,BP2,BO2,BM2,BJ2,BI2,BH2,BG2,BD2,BB2,BA2,AZ2,AY2,AU2,AR2,AQ2,AO2,AK2,AJ2,AI2,AH2,AG2,AF2,AC2,AA2,Z2,X2,V2,U2,T2,S2,R2,Q2,P2,O2,N2,M2,L2,K2,J2,I2,H2),0)</f>
        <v>0.77881839653382035</v>
      </c>
      <c r="CJ2">
        <f>IFERROR(AVERAGE(BS2,BF2,BE2,BC2,AX2,AW2,AV2,AT2,AS2,AP2,AN2,AM2,AL2,AE2,AD2,AB2,Y2,W2),)</f>
        <v>0.20041067132363599</v>
      </c>
      <c r="CK2">
        <f>IFERROR(AVERAGE(BK2,BL2,BN2,BU2,BV2,BW2,BX2,CA2,CE2,CF2),0)</f>
        <v>0</v>
      </c>
    </row>
    <row r="3" spans="1:90" x14ac:dyDescent="0.25">
      <c r="A3" t="s">
        <v>51</v>
      </c>
      <c r="B3" t="s">
        <v>72</v>
      </c>
      <c r="C3" s="2">
        <v>6</v>
      </c>
      <c r="D3" s="2">
        <v>2</v>
      </c>
      <c r="E3" s="2">
        <v>2</v>
      </c>
      <c r="F3" s="2">
        <v>2</v>
      </c>
      <c r="G3" s="2">
        <v>2</v>
      </c>
      <c r="H3">
        <v>0.92592592592592504</v>
      </c>
      <c r="I3" t="s">
        <v>33</v>
      </c>
      <c r="J3">
        <v>0.434782608695652</v>
      </c>
      <c r="K3" t="s">
        <v>33</v>
      </c>
      <c r="L3">
        <v>0.90187267018676198</v>
      </c>
      <c r="M3">
        <v>0.90909090909090895</v>
      </c>
      <c r="N3" t="s">
        <v>33</v>
      </c>
      <c r="O3">
        <v>0.231578947368421</v>
      </c>
      <c r="P3" t="s">
        <v>33</v>
      </c>
      <c r="Q3" t="s">
        <v>33</v>
      </c>
      <c r="R3" t="s">
        <v>33</v>
      </c>
      <c r="S3" t="s">
        <v>33</v>
      </c>
      <c r="T3">
        <v>0.16239316239316201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>
        <v>0.52648901335647602</v>
      </c>
      <c r="AC3">
        <v>0.42978838456881502</v>
      </c>
      <c r="AD3" t="s">
        <v>33</v>
      </c>
      <c r="AE3" t="s">
        <v>33</v>
      </c>
      <c r="AF3" t="s">
        <v>33</v>
      </c>
      <c r="AG3" t="s">
        <v>33</v>
      </c>
      <c r="AH3">
        <v>0.301369863013698</v>
      </c>
      <c r="AI3">
        <v>0.73099415204678297</v>
      </c>
      <c r="AJ3" t="s">
        <v>33</v>
      </c>
      <c r="AK3" t="s">
        <v>33</v>
      </c>
      <c r="AL3">
        <v>0.34860254189645501</v>
      </c>
      <c r="AM3" t="s">
        <v>33</v>
      </c>
      <c r="AN3" t="s">
        <v>33</v>
      </c>
      <c r="AO3" t="s">
        <v>33</v>
      </c>
      <c r="AP3" t="s">
        <v>33</v>
      </c>
      <c r="AQ3" t="s">
        <v>33</v>
      </c>
      <c r="AR3" t="s">
        <v>33</v>
      </c>
      <c r="AS3" t="s">
        <v>33</v>
      </c>
      <c r="AT3" t="s">
        <v>33</v>
      </c>
      <c r="AU3" t="s">
        <v>33</v>
      </c>
      <c r="AV3" t="s">
        <v>33</v>
      </c>
      <c r="AW3">
        <v>0</v>
      </c>
      <c r="AX3">
        <v>0</v>
      </c>
      <c r="AY3" t="s">
        <v>33</v>
      </c>
      <c r="AZ3" t="s">
        <v>33</v>
      </c>
      <c r="BA3" t="s">
        <v>33</v>
      </c>
      <c r="BB3" t="s">
        <v>33</v>
      </c>
      <c r="BC3" t="s">
        <v>33</v>
      </c>
      <c r="BD3">
        <v>0.51923076923076905</v>
      </c>
      <c r="BE3">
        <v>1</v>
      </c>
      <c r="BF3">
        <v>0.51698336769592301</v>
      </c>
      <c r="BG3" t="s">
        <v>33</v>
      </c>
      <c r="BH3" t="s">
        <v>33</v>
      </c>
      <c r="BI3" t="s">
        <v>33</v>
      </c>
      <c r="BJ3">
        <v>0.55555555555555503</v>
      </c>
      <c r="BK3" t="s">
        <v>33</v>
      </c>
      <c r="BL3" t="s">
        <v>33</v>
      </c>
      <c r="BM3">
        <v>0.71428571428571397</v>
      </c>
      <c r="BN3">
        <v>0.93888864034800401</v>
      </c>
      <c r="BO3" t="s">
        <v>33</v>
      </c>
      <c r="BP3">
        <v>0.40322580645161199</v>
      </c>
      <c r="BQ3" t="s">
        <v>33</v>
      </c>
      <c r="BR3" t="s">
        <v>33</v>
      </c>
      <c r="BS3">
        <v>1</v>
      </c>
      <c r="BT3" t="s">
        <v>33</v>
      </c>
      <c r="BU3" t="s">
        <v>33</v>
      </c>
      <c r="BV3" t="s">
        <v>33</v>
      </c>
      <c r="BW3">
        <v>0.96470186129079605</v>
      </c>
      <c r="BX3" t="s">
        <v>33</v>
      </c>
      <c r="BY3">
        <v>0.76923076923076905</v>
      </c>
      <c r="BZ3">
        <v>0.78947368421052599</v>
      </c>
      <c r="CA3" t="s">
        <v>33</v>
      </c>
      <c r="CB3" t="s">
        <v>33</v>
      </c>
      <c r="CC3" t="s">
        <v>33</v>
      </c>
      <c r="CD3" t="s">
        <v>33</v>
      </c>
      <c r="CE3" t="s">
        <v>33</v>
      </c>
      <c r="CF3">
        <v>0.97784779410546496</v>
      </c>
      <c r="CG3">
        <v>0.76923076923076905</v>
      </c>
      <c r="CI3">
        <f>IFERROR(AVERAGE(CG3,CD3,CC3,CB3,BZ3,BY3,BT3,BR3,BQ3,BP3,BO3,BM3,BJ3,BI3,BH3,BG3,BD3,BB3,BA3,AZ3,AY3,AU3,AR3,AQ3,AO3,AK3,AJ3,AI3,AH3,AG3,AF3,AC3,AA3,Z3,X3,V3,U3,T3,S3,R3,Q3,P3,O3,N3,M3,L3,K3,J3,I3,H3),0)</f>
        <v>0.59675185571786515</v>
      </c>
      <c r="CJ3">
        <f t="shared" ref="CJ3:CJ66" si="0">IFERROR(AVERAGE(BS3,BF3,BE3,BC3,AX3,AW3,AV3,AT3,AS3,AP3,AN3,AM3,AL3,AE3,AD3,AB3,Y3,W3),)</f>
        <v>0.48458213184983634</v>
      </c>
      <c r="CK3">
        <f t="shared" ref="CK3:CK66" si="1">IFERROR(AVERAGE(BK3,BL3,BN3,BU3,BV3,BW3,BX3,CA3,CE3,CF3),0)</f>
        <v>0.96047943191475504</v>
      </c>
    </row>
    <row r="4" spans="1:90" x14ac:dyDescent="0.25">
      <c r="A4" t="s">
        <v>91</v>
      </c>
      <c r="B4" t="s">
        <v>87</v>
      </c>
      <c r="C4" s="2">
        <v>5</v>
      </c>
      <c r="D4" s="2">
        <v>1</v>
      </c>
      <c r="E4" s="2">
        <v>2</v>
      </c>
      <c r="F4" s="2">
        <v>2</v>
      </c>
      <c r="G4" s="2">
        <v>3</v>
      </c>
      <c r="H4" t="s">
        <v>33</v>
      </c>
      <c r="I4" t="s">
        <v>33</v>
      </c>
      <c r="J4" t="s">
        <v>33</v>
      </c>
      <c r="K4" t="s">
        <v>33</v>
      </c>
      <c r="L4">
        <v>0.85714285714285698</v>
      </c>
      <c r="M4">
        <v>0.67391304347825998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>
        <v>0.72413793103448199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>
        <v>0.69155676461493099</v>
      </c>
      <c r="AC4">
        <v>0.71529840648138798</v>
      </c>
      <c r="AD4" t="s">
        <v>33</v>
      </c>
      <c r="AE4" t="s">
        <v>33</v>
      </c>
      <c r="AF4">
        <v>1</v>
      </c>
      <c r="AG4" t="s">
        <v>33</v>
      </c>
      <c r="AH4">
        <v>0.95979899497487398</v>
      </c>
      <c r="AI4">
        <v>0.93061224489795902</v>
      </c>
      <c r="AJ4" t="s">
        <v>33</v>
      </c>
      <c r="AK4" t="s">
        <v>33</v>
      </c>
      <c r="AL4">
        <v>0.72795076343986598</v>
      </c>
      <c r="AM4" t="s">
        <v>33</v>
      </c>
      <c r="AN4" t="s">
        <v>33</v>
      </c>
      <c r="AO4" t="s">
        <v>33</v>
      </c>
      <c r="AP4" t="s">
        <v>33</v>
      </c>
      <c r="AQ4" t="s">
        <v>33</v>
      </c>
      <c r="AR4">
        <v>0.92473118279569799</v>
      </c>
      <c r="AS4" t="s">
        <v>33</v>
      </c>
      <c r="AT4" t="s">
        <v>33</v>
      </c>
      <c r="AU4" t="s">
        <v>33</v>
      </c>
      <c r="AV4" t="s">
        <v>33</v>
      </c>
      <c r="AW4">
        <v>0</v>
      </c>
      <c r="AX4">
        <v>1</v>
      </c>
      <c r="AY4" t="s">
        <v>33</v>
      </c>
      <c r="AZ4" t="s">
        <v>33</v>
      </c>
      <c r="BA4" t="s">
        <v>33</v>
      </c>
      <c r="BB4" t="s">
        <v>33</v>
      </c>
      <c r="BC4" t="s">
        <v>33</v>
      </c>
      <c r="BD4">
        <v>0.72108843537414902</v>
      </c>
      <c r="BE4">
        <v>0.51698336769592201</v>
      </c>
      <c r="BF4">
        <v>0.37580216105908898</v>
      </c>
      <c r="BG4" t="s">
        <v>33</v>
      </c>
      <c r="BH4" t="s">
        <v>33</v>
      </c>
      <c r="BI4" t="s">
        <v>33</v>
      </c>
      <c r="BJ4">
        <v>1</v>
      </c>
      <c r="BK4" t="s">
        <v>33</v>
      </c>
      <c r="BL4">
        <v>0.94062182829708896</v>
      </c>
      <c r="BM4" t="s">
        <v>33</v>
      </c>
      <c r="BN4">
        <v>0.68383249999999995</v>
      </c>
      <c r="BO4" t="s">
        <v>33</v>
      </c>
      <c r="BP4">
        <v>0.78727478911146698</v>
      </c>
      <c r="BQ4" t="s">
        <v>33</v>
      </c>
      <c r="BR4" t="s">
        <v>33</v>
      </c>
      <c r="BS4" t="s">
        <v>33</v>
      </c>
      <c r="BT4" t="s">
        <v>33</v>
      </c>
      <c r="BU4" t="s">
        <v>33</v>
      </c>
      <c r="BV4" t="s">
        <v>33</v>
      </c>
      <c r="BW4" t="s">
        <v>33</v>
      </c>
      <c r="BX4">
        <v>0.76574374999999995</v>
      </c>
      <c r="BY4" t="s">
        <v>33</v>
      </c>
      <c r="BZ4" t="s">
        <v>33</v>
      </c>
      <c r="CA4">
        <v>0.96952151529035002</v>
      </c>
      <c r="CB4" t="s">
        <v>33</v>
      </c>
      <c r="CC4" t="s">
        <v>33</v>
      </c>
      <c r="CD4" t="s">
        <v>33</v>
      </c>
      <c r="CE4" t="s">
        <v>33</v>
      </c>
      <c r="CF4" t="s">
        <v>33</v>
      </c>
      <c r="CG4">
        <v>0.66666666666666596</v>
      </c>
      <c r="CI4">
        <f t="shared" ref="CI4:CI67" si="2">IFERROR(AVERAGE(CG4,CD4,CC4,CB4,BZ4,BY4,BT4,BR4,BQ4,BP4,BO4,BM4,BJ4,BI4,BH4,BG4,BD4,BB4,BA4,AZ4,AY4,AU4,AR4,AQ4,AO4,AK4,AJ4,AI4,AH4,AG4,AF4,AC4,AA4,Z4,X4,V4,U4,T4,S4,R4,Q4,P4,O4,N4,M4,L4,K4,J4,I4,H4),0)</f>
        <v>0.83005537932981666</v>
      </c>
      <c r="CJ4">
        <f t="shared" si="0"/>
        <v>0.55204884280163469</v>
      </c>
      <c r="CK4">
        <f t="shared" si="1"/>
        <v>0.83992989839685972</v>
      </c>
    </row>
    <row r="5" spans="1:90" x14ac:dyDescent="0.25">
      <c r="A5" t="s">
        <v>45</v>
      </c>
      <c r="B5">
        <v>1</v>
      </c>
      <c r="C5" s="2">
        <v>9</v>
      </c>
      <c r="D5" s="2">
        <v>3</v>
      </c>
      <c r="E5" s="2">
        <v>3</v>
      </c>
      <c r="F5" s="2">
        <v>1</v>
      </c>
      <c r="G5" s="2">
        <v>3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>
        <v>0.60010561507055205</v>
      </c>
      <c r="AB5" t="s">
        <v>33</v>
      </c>
      <c r="AC5" t="s">
        <v>33</v>
      </c>
      <c r="AD5" t="s">
        <v>33</v>
      </c>
      <c r="AE5" t="s">
        <v>33</v>
      </c>
      <c r="AF5" t="s">
        <v>33</v>
      </c>
      <c r="AG5" t="s">
        <v>33</v>
      </c>
      <c r="AH5" t="s">
        <v>33</v>
      </c>
      <c r="AI5" t="s">
        <v>33</v>
      </c>
      <c r="AJ5" t="s">
        <v>33</v>
      </c>
      <c r="AK5" t="s">
        <v>33</v>
      </c>
      <c r="AL5" t="s">
        <v>33</v>
      </c>
      <c r="AM5" t="s">
        <v>33</v>
      </c>
      <c r="AN5" t="s">
        <v>33</v>
      </c>
      <c r="AO5" t="s">
        <v>33</v>
      </c>
      <c r="AP5">
        <v>0.54630261776852895</v>
      </c>
      <c r="AQ5" t="s">
        <v>33</v>
      </c>
      <c r="AR5">
        <v>0.25714285714285701</v>
      </c>
      <c r="AS5" t="s">
        <v>33</v>
      </c>
      <c r="AT5" t="s">
        <v>33</v>
      </c>
      <c r="AU5" t="s">
        <v>33</v>
      </c>
      <c r="AV5">
        <v>1</v>
      </c>
      <c r="AW5" t="s">
        <v>33</v>
      </c>
      <c r="AX5" t="s">
        <v>33</v>
      </c>
      <c r="AY5" t="s">
        <v>33</v>
      </c>
      <c r="AZ5" t="s">
        <v>33</v>
      </c>
      <c r="BA5" t="s">
        <v>33</v>
      </c>
      <c r="BB5" t="s">
        <v>33</v>
      </c>
      <c r="BC5" t="s">
        <v>33</v>
      </c>
      <c r="BD5" t="s">
        <v>33</v>
      </c>
      <c r="BE5" t="s">
        <v>33</v>
      </c>
      <c r="BF5">
        <v>0.60130470897529098</v>
      </c>
      <c r="BG5" t="s">
        <v>33</v>
      </c>
      <c r="BH5" t="s">
        <v>33</v>
      </c>
      <c r="BI5" t="s">
        <v>33</v>
      </c>
      <c r="BJ5" t="s">
        <v>33</v>
      </c>
      <c r="BK5" t="s">
        <v>33</v>
      </c>
      <c r="BL5" t="s">
        <v>33</v>
      </c>
      <c r="BM5" t="s">
        <v>33</v>
      </c>
      <c r="BN5" t="s">
        <v>33</v>
      </c>
      <c r="BO5" t="s">
        <v>33</v>
      </c>
      <c r="BP5" t="s">
        <v>33</v>
      </c>
      <c r="BQ5" t="s">
        <v>33</v>
      </c>
      <c r="BR5" t="s">
        <v>33</v>
      </c>
      <c r="BS5">
        <v>1</v>
      </c>
      <c r="BT5" t="s">
        <v>33</v>
      </c>
      <c r="BU5" t="s">
        <v>33</v>
      </c>
      <c r="BV5">
        <v>0.72763468583615298</v>
      </c>
      <c r="BW5">
        <v>0.73229166666666601</v>
      </c>
      <c r="BX5" t="s">
        <v>33</v>
      </c>
      <c r="BY5" t="s">
        <v>33</v>
      </c>
      <c r="BZ5" t="s">
        <v>33</v>
      </c>
      <c r="CA5" t="s">
        <v>33</v>
      </c>
      <c r="CB5" t="s">
        <v>33</v>
      </c>
      <c r="CC5" t="s">
        <v>33</v>
      </c>
      <c r="CD5" t="s">
        <v>33</v>
      </c>
      <c r="CE5" t="s">
        <v>33</v>
      </c>
      <c r="CF5" t="s">
        <v>33</v>
      </c>
      <c r="CG5" t="s">
        <v>33</v>
      </c>
      <c r="CI5">
        <f t="shared" si="2"/>
        <v>0.42862423610670453</v>
      </c>
      <c r="CJ5">
        <f t="shared" si="0"/>
        <v>0.78690183168595496</v>
      </c>
      <c r="CK5">
        <f t="shared" si="1"/>
        <v>0.7299631762514095</v>
      </c>
    </row>
    <row r="6" spans="1:90" x14ac:dyDescent="0.25">
      <c r="A6" t="s">
        <v>117</v>
      </c>
      <c r="B6">
        <v>1</v>
      </c>
      <c r="C6" s="2">
        <v>10</v>
      </c>
      <c r="D6" s="2">
        <v>3</v>
      </c>
      <c r="E6" s="2">
        <v>1</v>
      </c>
      <c r="F6" s="2">
        <v>2</v>
      </c>
      <c r="G6" s="2">
        <v>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>
        <v>0.71891910283563498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J6" t="s">
        <v>33</v>
      </c>
      <c r="AK6" t="s">
        <v>33</v>
      </c>
      <c r="AL6" t="s">
        <v>33</v>
      </c>
      <c r="AM6" t="s">
        <v>33</v>
      </c>
      <c r="AN6" t="s">
        <v>33</v>
      </c>
      <c r="AO6">
        <v>0.31302739509059002</v>
      </c>
      <c r="AP6">
        <v>0.79507850490101295</v>
      </c>
      <c r="AQ6" t="s">
        <v>33</v>
      </c>
      <c r="AR6">
        <v>0.22222222222222199</v>
      </c>
      <c r="AS6" t="s">
        <v>33</v>
      </c>
      <c r="AT6" t="s">
        <v>33</v>
      </c>
      <c r="AU6" t="s">
        <v>33</v>
      </c>
      <c r="AV6">
        <v>0.24305309596564401</v>
      </c>
      <c r="AW6" t="s">
        <v>33</v>
      </c>
      <c r="AX6" t="s">
        <v>33</v>
      </c>
      <c r="AY6" t="s">
        <v>33</v>
      </c>
      <c r="AZ6" t="s">
        <v>33</v>
      </c>
      <c r="BA6" t="s">
        <v>33</v>
      </c>
      <c r="BB6" t="s">
        <v>33</v>
      </c>
      <c r="BC6" t="s">
        <v>33</v>
      </c>
      <c r="BD6" t="s">
        <v>33</v>
      </c>
      <c r="BE6" t="s">
        <v>33</v>
      </c>
      <c r="BF6">
        <v>0.57226618476528901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>
        <v>1</v>
      </c>
      <c r="BT6" t="s">
        <v>33</v>
      </c>
      <c r="BU6" t="s">
        <v>33</v>
      </c>
      <c r="BV6">
        <v>0.93684685963286596</v>
      </c>
      <c r="BW6">
        <v>0.93872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I6">
        <f t="shared" si="2"/>
        <v>0.41805624004948233</v>
      </c>
      <c r="CJ6">
        <f t="shared" si="0"/>
        <v>0.65259944640798651</v>
      </c>
      <c r="CK6">
        <f t="shared" si="1"/>
        <v>0.93778342981643292</v>
      </c>
    </row>
    <row r="7" spans="1:90" x14ac:dyDescent="0.25">
      <c r="A7" t="s">
        <v>113</v>
      </c>
      <c r="B7">
        <v>1</v>
      </c>
      <c r="C7" s="2">
        <v>10</v>
      </c>
      <c r="D7" s="2">
        <v>2</v>
      </c>
      <c r="E7" s="2">
        <v>3</v>
      </c>
      <c r="F7" s="2">
        <v>2</v>
      </c>
      <c r="G7" s="2">
        <v>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>
        <v>0.83647811191307597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 t="s">
        <v>33</v>
      </c>
      <c r="AJ7" t="s">
        <v>33</v>
      </c>
      <c r="AK7" t="s">
        <v>33</v>
      </c>
      <c r="AL7" t="s">
        <v>33</v>
      </c>
      <c r="AM7" t="s">
        <v>33</v>
      </c>
      <c r="AN7" t="s">
        <v>33</v>
      </c>
      <c r="AO7" t="s">
        <v>33</v>
      </c>
      <c r="AP7">
        <v>1</v>
      </c>
      <c r="AQ7" t="s">
        <v>33</v>
      </c>
      <c r="AR7">
        <v>0.266666666666666</v>
      </c>
      <c r="AS7" t="s">
        <v>33</v>
      </c>
      <c r="AT7" t="s">
        <v>33</v>
      </c>
      <c r="AU7" t="s">
        <v>33</v>
      </c>
      <c r="AV7">
        <v>0</v>
      </c>
      <c r="AW7">
        <v>0</v>
      </c>
      <c r="AX7" t="s">
        <v>33</v>
      </c>
      <c r="AY7" t="s">
        <v>33</v>
      </c>
      <c r="AZ7" t="s">
        <v>33</v>
      </c>
      <c r="BA7" t="s">
        <v>33</v>
      </c>
      <c r="BB7" t="s">
        <v>33</v>
      </c>
      <c r="BC7" t="s">
        <v>33</v>
      </c>
      <c r="BD7" t="s">
        <v>33</v>
      </c>
      <c r="BE7" t="s">
        <v>33</v>
      </c>
      <c r="BF7">
        <v>0.41641554951341198</v>
      </c>
      <c r="BG7" t="s">
        <v>33</v>
      </c>
      <c r="BH7" t="s">
        <v>33</v>
      </c>
      <c r="BI7" t="s">
        <v>33</v>
      </c>
      <c r="BJ7" t="s">
        <v>33</v>
      </c>
      <c r="BK7" t="s">
        <v>33</v>
      </c>
      <c r="BL7" t="s">
        <v>33</v>
      </c>
      <c r="BM7" t="s">
        <v>33</v>
      </c>
      <c r="BN7" t="s">
        <v>33</v>
      </c>
      <c r="BO7" t="s">
        <v>33</v>
      </c>
      <c r="BP7" t="s">
        <v>33</v>
      </c>
      <c r="BQ7" t="s">
        <v>33</v>
      </c>
      <c r="BR7" t="s">
        <v>33</v>
      </c>
      <c r="BS7">
        <v>1</v>
      </c>
      <c r="BT7" t="s">
        <v>33</v>
      </c>
      <c r="BU7" t="s">
        <v>33</v>
      </c>
      <c r="BV7">
        <v>0.74943754497741799</v>
      </c>
      <c r="BW7">
        <v>0.65882352941176403</v>
      </c>
      <c r="BX7" t="s">
        <v>33</v>
      </c>
      <c r="BY7" t="s">
        <v>33</v>
      </c>
      <c r="BZ7" t="s">
        <v>33</v>
      </c>
      <c r="CA7" t="s">
        <v>33</v>
      </c>
      <c r="CB7" t="s">
        <v>33</v>
      </c>
      <c r="CC7" t="s">
        <v>33</v>
      </c>
      <c r="CD7" t="s">
        <v>33</v>
      </c>
      <c r="CE7" t="s">
        <v>33</v>
      </c>
      <c r="CF7" t="s">
        <v>33</v>
      </c>
      <c r="CG7" t="s">
        <v>33</v>
      </c>
      <c r="CI7">
        <f t="shared" si="2"/>
        <v>0.55157238928987096</v>
      </c>
      <c r="CJ7">
        <f t="shared" si="0"/>
        <v>0.48328310990268236</v>
      </c>
      <c r="CK7">
        <f t="shared" si="1"/>
        <v>0.70413053719459096</v>
      </c>
    </row>
    <row r="8" spans="1:90" x14ac:dyDescent="0.25">
      <c r="A8" t="s">
        <v>36</v>
      </c>
      <c r="B8">
        <v>3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  <c r="AD8" t="s">
        <v>33</v>
      </c>
      <c r="AE8" t="s">
        <v>33</v>
      </c>
      <c r="AF8" t="s">
        <v>33</v>
      </c>
      <c r="AG8" t="s">
        <v>33</v>
      </c>
      <c r="AH8" t="s">
        <v>33</v>
      </c>
      <c r="AI8" t="s">
        <v>33</v>
      </c>
      <c r="AJ8" t="s">
        <v>33</v>
      </c>
      <c r="AK8" t="s">
        <v>33</v>
      </c>
      <c r="AL8" t="s">
        <v>33</v>
      </c>
      <c r="AM8" t="s">
        <v>33</v>
      </c>
      <c r="AN8" t="s">
        <v>33</v>
      </c>
      <c r="AO8" t="s">
        <v>33</v>
      </c>
      <c r="AP8" t="s">
        <v>33</v>
      </c>
      <c r="AQ8" t="s">
        <v>33</v>
      </c>
      <c r="AR8" t="s">
        <v>33</v>
      </c>
      <c r="AS8" t="s">
        <v>33</v>
      </c>
      <c r="AT8" t="s">
        <v>33</v>
      </c>
      <c r="AU8" t="s">
        <v>33</v>
      </c>
      <c r="AV8" t="s">
        <v>33</v>
      </c>
      <c r="AW8" t="s">
        <v>33</v>
      </c>
      <c r="AX8" t="s">
        <v>33</v>
      </c>
      <c r="AY8" t="s">
        <v>33</v>
      </c>
      <c r="AZ8">
        <v>0.86144578313252995</v>
      </c>
      <c r="BA8" t="s">
        <v>33</v>
      </c>
      <c r="BB8">
        <v>0.86206896551724099</v>
      </c>
      <c r="BC8" t="s">
        <v>33</v>
      </c>
      <c r="BD8" t="s">
        <v>33</v>
      </c>
      <c r="BE8" t="s">
        <v>33</v>
      </c>
      <c r="BF8" t="s">
        <v>33</v>
      </c>
      <c r="BG8" t="s">
        <v>33</v>
      </c>
      <c r="BH8">
        <v>0.72307692307692295</v>
      </c>
      <c r="BI8" t="s">
        <v>33</v>
      </c>
      <c r="BJ8" t="s">
        <v>33</v>
      </c>
      <c r="BK8" t="s">
        <v>33</v>
      </c>
      <c r="BL8" t="s">
        <v>33</v>
      </c>
      <c r="BM8" t="s">
        <v>33</v>
      </c>
      <c r="BN8">
        <v>0.92188269455294902</v>
      </c>
      <c r="BO8" t="s">
        <v>33</v>
      </c>
      <c r="BP8" t="s">
        <v>33</v>
      </c>
      <c r="BQ8">
        <v>0.97959183673469297</v>
      </c>
      <c r="BR8">
        <v>0.92101312336548602</v>
      </c>
      <c r="BS8" t="s">
        <v>33</v>
      </c>
      <c r="BT8">
        <v>1</v>
      </c>
      <c r="BU8" t="s">
        <v>33</v>
      </c>
      <c r="BV8" t="s">
        <v>33</v>
      </c>
      <c r="BW8" t="s">
        <v>33</v>
      </c>
      <c r="BX8" t="s">
        <v>33</v>
      </c>
      <c r="BY8" t="s">
        <v>33</v>
      </c>
      <c r="BZ8" t="s">
        <v>33</v>
      </c>
      <c r="CA8" t="s">
        <v>33</v>
      </c>
      <c r="CB8">
        <v>0.8</v>
      </c>
      <c r="CC8">
        <v>0.84615384615384603</v>
      </c>
      <c r="CD8">
        <v>0.84</v>
      </c>
      <c r="CE8" t="s">
        <v>33</v>
      </c>
      <c r="CF8" t="s">
        <v>33</v>
      </c>
      <c r="CG8" t="s">
        <v>33</v>
      </c>
      <c r="CI8">
        <f t="shared" si="2"/>
        <v>0.8703722753311911</v>
      </c>
      <c r="CJ8">
        <f t="shared" si="0"/>
        <v>0</v>
      </c>
      <c r="CK8">
        <f t="shared" si="1"/>
        <v>0.92188269455294902</v>
      </c>
    </row>
    <row r="9" spans="1:90" x14ac:dyDescent="0.25">
      <c r="A9" t="s">
        <v>37</v>
      </c>
      <c r="B9">
        <v>3</v>
      </c>
      <c r="H9" t="s">
        <v>33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  <c r="AD9" t="s">
        <v>33</v>
      </c>
      <c r="AE9" t="s">
        <v>33</v>
      </c>
      <c r="AF9" t="s">
        <v>33</v>
      </c>
      <c r="AG9" t="s">
        <v>33</v>
      </c>
      <c r="AH9" t="s">
        <v>33</v>
      </c>
      <c r="AI9" t="s">
        <v>33</v>
      </c>
      <c r="AJ9" t="s">
        <v>33</v>
      </c>
      <c r="AK9" t="s">
        <v>33</v>
      </c>
      <c r="AL9" t="s">
        <v>33</v>
      </c>
      <c r="AM9" t="s">
        <v>33</v>
      </c>
      <c r="AN9" t="s">
        <v>33</v>
      </c>
      <c r="AO9" t="s">
        <v>33</v>
      </c>
      <c r="AP9" t="s">
        <v>33</v>
      </c>
      <c r="AQ9" t="s">
        <v>33</v>
      </c>
      <c r="AR9" t="s">
        <v>33</v>
      </c>
      <c r="AS9" t="s">
        <v>33</v>
      </c>
      <c r="AT9" t="s">
        <v>33</v>
      </c>
      <c r="AU9" t="s">
        <v>33</v>
      </c>
      <c r="AV9" t="s">
        <v>33</v>
      </c>
      <c r="AW9" t="s">
        <v>33</v>
      </c>
      <c r="AX9" t="s">
        <v>33</v>
      </c>
      <c r="AY9" t="s">
        <v>33</v>
      </c>
      <c r="AZ9">
        <v>0.63414634146341398</v>
      </c>
      <c r="BA9" t="s">
        <v>33</v>
      </c>
      <c r="BB9">
        <v>0.51515151515151503</v>
      </c>
      <c r="BC9" t="s">
        <v>33</v>
      </c>
      <c r="BD9" t="s">
        <v>33</v>
      </c>
      <c r="BE9" t="s">
        <v>33</v>
      </c>
      <c r="BF9" t="s">
        <v>33</v>
      </c>
      <c r="BG9" t="s">
        <v>33</v>
      </c>
      <c r="BH9">
        <v>0.80357142857142805</v>
      </c>
      <c r="BI9" t="s">
        <v>33</v>
      </c>
      <c r="BJ9" t="s">
        <v>33</v>
      </c>
      <c r="BK9" t="s">
        <v>33</v>
      </c>
      <c r="BL9" t="s">
        <v>33</v>
      </c>
      <c r="BM9" t="s">
        <v>33</v>
      </c>
      <c r="BN9">
        <v>0.68149738957878803</v>
      </c>
      <c r="BO9" t="s">
        <v>33</v>
      </c>
      <c r="BP9" t="s">
        <v>33</v>
      </c>
      <c r="BQ9">
        <v>0.910567356655962</v>
      </c>
      <c r="BR9">
        <v>0.875</v>
      </c>
      <c r="BS9" t="s">
        <v>33</v>
      </c>
      <c r="BT9">
        <v>0.75609756097560898</v>
      </c>
      <c r="BU9" t="s">
        <v>33</v>
      </c>
      <c r="BV9" t="s">
        <v>33</v>
      </c>
      <c r="BW9" t="s">
        <v>33</v>
      </c>
      <c r="BX9" t="s">
        <v>33</v>
      </c>
      <c r="BY9" t="s">
        <v>33</v>
      </c>
      <c r="BZ9" t="s">
        <v>33</v>
      </c>
      <c r="CA9" t="s">
        <v>33</v>
      </c>
      <c r="CB9">
        <v>0.19148936170212699</v>
      </c>
      <c r="CC9" t="s">
        <v>33</v>
      </c>
      <c r="CD9">
        <v>0.73333333333333295</v>
      </c>
      <c r="CE9" t="s">
        <v>33</v>
      </c>
      <c r="CF9" t="s">
        <v>33</v>
      </c>
      <c r="CG9" t="s">
        <v>33</v>
      </c>
      <c r="CI9">
        <f t="shared" si="2"/>
        <v>0.67741961223167346</v>
      </c>
      <c r="CJ9">
        <f t="shared" si="0"/>
        <v>0</v>
      </c>
      <c r="CK9">
        <f t="shared" si="1"/>
        <v>0.68149738957878803</v>
      </c>
    </row>
    <row r="10" spans="1:90" x14ac:dyDescent="0.25">
      <c r="A10" t="s">
        <v>134</v>
      </c>
      <c r="H10" t="s">
        <v>33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  <c r="AD10" t="s">
        <v>33</v>
      </c>
      <c r="AE10" t="s">
        <v>33</v>
      </c>
      <c r="AF10" t="s">
        <v>33</v>
      </c>
      <c r="AG10" t="s">
        <v>33</v>
      </c>
      <c r="AH10" t="s">
        <v>33</v>
      </c>
      <c r="AI10" t="s">
        <v>33</v>
      </c>
      <c r="AJ10" t="s">
        <v>33</v>
      </c>
      <c r="AK10" t="s">
        <v>33</v>
      </c>
      <c r="AL10" t="s">
        <v>33</v>
      </c>
      <c r="AM10" t="s">
        <v>33</v>
      </c>
      <c r="AN10" t="s">
        <v>33</v>
      </c>
      <c r="AO10" t="s">
        <v>33</v>
      </c>
      <c r="AP10" t="s">
        <v>33</v>
      </c>
      <c r="AQ10" t="s">
        <v>33</v>
      </c>
      <c r="AR10" t="s">
        <v>33</v>
      </c>
      <c r="AS10" t="s">
        <v>33</v>
      </c>
      <c r="AT10" t="s">
        <v>33</v>
      </c>
      <c r="AU10" t="s">
        <v>33</v>
      </c>
      <c r="AV10" t="s">
        <v>33</v>
      </c>
      <c r="AW10" t="s">
        <v>33</v>
      </c>
      <c r="AX10" t="s">
        <v>33</v>
      </c>
      <c r="AY10" t="s">
        <v>33</v>
      </c>
      <c r="AZ10">
        <v>0.81818181818181801</v>
      </c>
      <c r="BA10" t="s">
        <v>33</v>
      </c>
      <c r="BB10">
        <v>0.81395348837209303</v>
      </c>
      <c r="BC10" t="s">
        <v>33</v>
      </c>
      <c r="BD10" t="s">
        <v>33</v>
      </c>
      <c r="BE10" t="s">
        <v>33</v>
      </c>
      <c r="BF10" t="s">
        <v>33</v>
      </c>
      <c r="BG10" t="s">
        <v>33</v>
      </c>
      <c r="BH10">
        <v>0.77777777777777701</v>
      </c>
      <c r="BI10" t="s">
        <v>33</v>
      </c>
      <c r="BJ10" t="s">
        <v>33</v>
      </c>
      <c r="BK10" t="s">
        <v>33</v>
      </c>
      <c r="BL10" t="s">
        <v>33</v>
      </c>
      <c r="BM10" t="s">
        <v>33</v>
      </c>
      <c r="BN10" t="s">
        <v>33</v>
      </c>
      <c r="BO10" t="s">
        <v>33</v>
      </c>
      <c r="BP10" t="s">
        <v>33</v>
      </c>
      <c r="BQ10">
        <v>0.967741935483871</v>
      </c>
      <c r="BR10" t="s">
        <v>33</v>
      </c>
      <c r="BS10" t="s">
        <v>33</v>
      </c>
      <c r="BT10">
        <v>0.80434782608695599</v>
      </c>
      <c r="BU10" t="s">
        <v>33</v>
      </c>
      <c r="BV10" t="s">
        <v>33</v>
      </c>
      <c r="BW10" t="s">
        <v>33</v>
      </c>
      <c r="BX10" t="s">
        <v>33</v>
      </c>
      <c r="BY10" t="s">
        <v>33</v>
      </c>
      <c r="BZ10" t="s">
        <v>33</v>
      </c>
      <c r="CA10" t="s">
        <v>33</v>
      </c>
      <c r="CB10">
        <v>0.57142857142857095</v>
      </c>
      <c r="CC10" t="s">
        <v>33</v>
      </c>
      <c r="CD10">
        <v>0.42307692307692302</v>
      </c>
      <c r="CE10" t="s">
        <v>33</v>
      </c>
      <c r="CF10" t="s">
        <v>33</v>
      </c>
      <c r="CG10" t="s">
        <v>33</v>
      </c>
      <c r="CI10">
        <f t="shared" si="2"/>
        <v>0.73950119148685833</v>
      </c>
      <c r="CJ10">
        <f t="shared" si="0"/>
        <v>0</v>
      </c>
      <c r="CK10">
        <f t="shared" si="1"/>
        <v>0</v>
      </c>
    </row>
    <row r="11" spans="1:90" x14ac:dyDescent="0.25">
      <c r="A11" t="s">
        <v>38</v>
      </c>
      <c r="B11" t="s">
        <v>131</v>
      </c>
      <c r="H11" t="s">
        <v>33</v>
      </c>
      <c r="I11" t="s">
        <v>33</v>
      </c>
      <c r="J11" t="s">
        <v>33</v>
      </c>
      <c r="K11" t="s">
        <v>33</v>
      </c>
      <c r="L11">
        <v>0.89110367615433195</v>
      </c>
      <c r="M11">
        <v>0.86956521739130399</v>
      </c>
      <c r="N11" t="s">
        <v>33</v>
      </c>
      <c r="O11" t="s">
        <v>33</v>
      </c>
      <c r="P11" t="s">
        <v>33</v>
      </c>
      <c r="Q11">
        <v>1</v>
      </c>
      <c r="R11">
        <v>0.89022799078155201</v>
      </c>
      <c r="S11" t="s">
        <v>33</v>
      </c>
      <c r="T11">
        <v>0.84375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33</v>
      </c>
      <c r="AD11" t="s">
        <v>33</v>
      </c>
      <c r="AE11" t="s">
        <v>33</v>
      </c>
      <c r="AF11" t="s">
        <v>33</v>
      </c>
      <c r="AG11" t="s">
        <v>33</v>
      </c>
      <c r="AH11" t="s">
        <v>33</v>
      </c>
      <c r="AI11" t="s">
        <v>33</v>
      </c>
      <c r="AJ11" t="s">
        <v>33</v>
      </c>
      <c r="AK11" t="s">
        <v>33</v>
      </c>
      <c r="AL11" t="s">
        <v>33</v>
      </c>
      <c r="AM11" t="s">
        <v>33</v>
      </c>
      <c r="AN11" t="s">
        <v>33</v>
      </c>
      <c r="AO11" t="s">
        <v>33</v>
      </c>
      <c r="AP11" t="s">
        <v>33</v>
      </c>
      <c r="AQ11" t="s">
        <v>33</v>
      </c>
      <c r="AR11" t="s">
        <v>33</v>
      </c>
      <c r="AS11" t="s">
        <v>33</v>
      </c>
      <c r="AT11" t="s">
        <v>33</v>
      </c>
      <c r="AU11" t="s">
        <v>33</v>
      </c>
      <c r="AV11" t="s">
        <v>33</v>
      </c>
      <c r="AW11" t="s">
        <v>33</v>
      </c>
      <c r="AX11" t="s">
        <v>33</v>
      </c>
      <c r="AY11" t="s">
        <v>33</v>
      </c>
      <c r="AZ11" t="s">
        <v>33</v>
      </c>
      <c r="BA11" t="s">
        <v>33</v>
      </c>
      <c r="BB11" t="s">
        <v>33</v>
      </c>
      <c r="BC11" t="s">
        <v>33</v>
      </c>
      <c r="BD11" t="s">
        <v>33</v>
      </c>
      <c r="BE11" t="s">
        <v>33</v>
      </c>
      <c r="BF11" t="s">
        <v>33</v>
      </c>
      <c r="BG11" t="s">
        <v>33</v>
      </c>
      <c r="BH11" t="s">
        <v>33</v>
      </c>
      <c r="BI11" t="s">
        <v>33</v>
      </c>
      <c r="BJ11" t="s">
        <v>33</v>
      </c>
      <c r="BK11" t="s">
        <v>33</v>
      </c>
      <c r="BL11" t="s">
        <v>33</v>
      </c>
      <c r="BM11" t="s">
        <v>33</v>
      </c>
      <c r="BN11" t="s">
        <v>33</v>
      </c>
      <c r="BO11" t="s">
        <v>33</v>
      </c>
      <c r="BP11" t="s">
        <v>33</v>
      </c>
      <c r="BQ11" t="s">
        <v>33</v>
      </c>
      <c r="BR11" t="s">
        <v>33</v>
      </c>
      <c r="BS11" t="s">
        <v>33</v>
      </c>
      <c r="BT11" t="s">
        <v>33</v>
      </c>
      <c r="BU11" t="s">
        <v>33</v>
      </c>
      <c r="BV11" t="s">
        <v>33</v>
      </c>
      <c r="BW11" t="s">
        <v>33</v>
      </c>
      <c r="BX11" t="s">
        <v>33</v>
      </c>
      <c r="BY11" t="s">
        <v>33</v>
      </c>
      <c r="BZ11" t="s">
        <v>33</v>
      </c>
      <c r="CA11" t="s">
        <v>33</v>
      </c>
      <c r="CB11" t="s">
        <v>33</v>
      </c>
      <c r="CC11" t="s">
        <v>33</v>
      </c>
      <c r="CD11" t="s">
        <v>33</v>
      </c>
      <c r="CE11" t="s">
        <v>33</v>
      </c>
      <c r="CF11" t="s">
        <v>33</v>
      </c>
      <c r="CG11" t="s">
        <v>33</v>
      </c>
      <c r="CI11">
        <f t="shared" si="2"/>
        <v>0.89892937686543761</v>
      </c>
      <c r="CJ11">
        <f t="shared" si="0"/>
        <v>0</v>
      </c>
      <c r="CK11">
        <f t="shared" si="1"/>
        <v>0</v>
      </c>
    </row>
    <row r="12" spans="1:90" x14ac:dyDescent="0.25">
      <c r="A12" t="s">
        <v>76</v>
      </c>
      <c r="B12" t="s">
        <v>72</v>
      </c>
      <c r="C12" s="2">
        <v>10</v>
      </c>
      <c r="D12" s="2">
        <v>3</v>
      </c>
      <c r="E12" s="2">
        <v>3</v>
      </c>
      <c r="F12" s="2">
        <v>3</v>
      </c>
      <c r="G12" s="2">
        <v>3</v>
      </c>
      <c r="H12" t="s">
        <v>33</v>
      </c>
      <c r="I12" t="s">
        <v>33</v>
      </c>
      <c r="J12">
        <v>1</v>
      </c>
      <c r="K12" t="s">
        <v>33</v>
      </c>
      <c r="L12">
        <v>0.975394620606304</v>
      </c>
      <c r="M12" t="s">
        <v>33</v>
      </c>
      <c r="N12" t="s">
        <v>33</v>
      </c>
      <c r="O12">
        <v>0.97777777777777697</v>
      </c>
      <c r="P12" t="s">
        <v>33</v>
      </c>
      <c r="Q12" t="s">
        <v>33</v>
      </c>
      <c r="R12" t="s">
        <v>33</v>
      </c>
      <c r="S12" t="s">
        <v>33</v>
      </c>
      <c r="T12">
        <v>0.57575757575757502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>
        <v>0.49930968150065902</v>
      </c>
      <c r="AD12" t="s">
        <v>33</v>
      </c>
      <c r="AE12" t="s">
        <v>33</v>
      </c>
      <c r="AF12" t="s">
        <v>33</v>
      </c>
      <c r="AG12" t="s">
        <v>33</v>
      </c>
      <c r="AH12">
        <v>0.96370967741935398</v>
      </c>
      <c r="AI12">
        <v>0.95469255663430397</v>
      </c>
      <c r="AJ12" t="s">
        <v>33</v>
      </c>
      <c r="AK12">
        <v>0.66605276769893196</v>
      </c>
      <c r="AL12">
        <v>0.84255961320416295</v>
      </c>
      <c r="AM12" t="s">
        <v>33</v>
      </c>
      <c r="AN12" t="s">
        <v>33</v>
      </c>
      <c r="AO12" t="s">
        <v>33</v>
      </c>
      <c r="AP12" t="s">
        <v>33</v>
      </c>
      <c r="AQ12" t="s">
        <v>33</v>
      </c>
      <c r="AR12" t="s">
        <v>33</v>
      </c>
      <c r="AS12" t="s">
        <v>33</v>
      </c>
      <c r="AT12" t="s">
        <v>33</v>
      </c>
      <c r="AU12" t="s">
        <v>33</v>
      </c>
      <c r="AV12" t="s">
        <v>33</v>
      </c>
      <c r="AW12" t="s">
        <v>33</v>
      </c>
      <c r="AX12" t="s">
        <v>33</v>
      </c>
      <c r="AY12" t="s">
        <v>33</v>
      </c>
      <c r="AZ12" t="s">
        <v>33</v>
      </c>
      <c r="BA12" t="s">
        <v>33</v>
      </c>
      <c r="BB12" t="s">
        <v>33</v>
      </c>
      <c r="BC12" t="s">
        <v>33</v>
      </c>
      <c r="BD12">
        <v>0.86956521739130399</v>
      </c>
      <c r="BE12">
        <v>1</v>
      </c>
      <c r="BF12">
        <v>0.43327228056436001</v>
      </c>
      <c r="BG12" t="s">
        <v>33</v>
      </c>
      <c r="BH12" t="s">
        <v>33</v>
      </c>
      <c r="BI12" t="s">
        <v>33</v>
      </c>
      <c r="BJ12">
        <v>0.71428571428571397</v>
      </c>
      <c r="BK12" t="s">
        <v>33</v>
      </c>
      <c r="BL12" t="s">
        <v>33</v>
      </c>
      <c r="BM12">
        <v>0.97222222222222199</v>
      </c>
      <c r="BN12">
        <v>0.80496652546854497</v>
      </c>
      <c r="BO12" t="s">
        <v>33</v>
      </c>
      <c r="BP12">
        <v>0.96376811594202805</v>
      </c>
      <c r="BQ12" t="s">
        <v>33</v>
      </c>
      <c r="BR12" t="s">
        <v>33</v>
      </c>
      <c r="BS12">
        <v>0.118002654440472</v>
      </c>
      <c r="BT12" t="s">
        <v>33</v>
      </c>
      <c r="BU12" t="s">
        <v>33</v>
      </c>
      <c r="BV12" t="s">
        <v>33</v>
      </c>
      <c r="BW12">
        <v>0.94771644430778801</v>
      </c>
      <c r="BX12" t="s">
        <v>33</v>
      </c>
      <c r="BY12">
        <v>0.97826086956521696</v>
      </c>
      <c r="BZ12">
        <v>0.92105263157894701</v>
      </c>
      <c r="CA12" t="s">
        <v>33</v>
      </c>
      <c r="CB12" t="s">
        <v>33</v>
      </c>
      <c r="CC12">
        <v>0.53846153846153799</v>
      </c>
      <c r="CD12" t="s">
        <v>33</v>
      </c>
      <c r="CE12" t="s">
        <v>33</v>
      </c>
      <c r="CF12">
        <v>0.99320114317336305</v>
      </c>
      <c r="CG12" t="s">
        <v>33</v>
      </c>
      <c r="CI12">
        <f t="shared" si="2"/>
        <v>0.83802073112279141</v>
      </c>
      <c r="CJ12">
        <f t="shared" si="0"/>
        <v>0.59845863705224878</v>
      </c>
      <c r="CK12">
        <f t="shared" si="1"/>
        <v>0.91529470431656534</v>
      </c>
    </row>
    <row r="13" spans="1:90" x14ac:dyDescent="0.25">
      <c r="A13" t="s">
        <v>133</v>
      </c>
      <c r="B13">
        <v>3</v>
      </c>
      <c r="H13" t="s">
        <v>33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  <c r="AD13" t="s">
        <v>33</v>
      </c>
      <c r="AE13" t="s">
        <v>33</v>
      </c>
      <c r="AF13" t="s">
        <v>33</v>
      </c>
      <c r="AG13" t="s">
        <v>33</v>
      </c>
      <c r="AH13" t="s">
        <v>33</v>
      </c>
      <c r="AI13" t="s">
        <v>33</v>
      </c>
      <c r="AJ13" t="s">
        <v>33</v>
      </c>
      <c r="AK13" t="s">
        <v>33</v>
      </c>
      <c r="AL13" t="s">
        <v>33</v>
      </c>
      <c r="AM13" t="s">
        <v>33</v>
      </c>
      <c r="AN13" t="s">
        <v>33</v>
      </c>
      <c r="AO13" t="s">
        <v>33</v>
      </c>
      <c r="AP13" t="s">
        <v>33</v>
      </c>
      <c r="AQ13" t="s">
        <v>33</v>
      </c>
      <c r="AR13" t="s">
        <v>33</v>
      </c>
      <c r="AS13" t="s">
        <v>33</v>
      </c>
      <c r="AT13" t="s">
        <v>33</v>
      </c>
      <c r="AU13" t="s">
        <v>33</v>
      </c>
      <c r="AV13" t="s">
        <v>33</v>
      </c>
      <c r="AW13" t="s">
        <v>33</v>
      </c>
      <c r="AX13" t="s">
        <v>33</v>
      </c>
      <c r="AY13" t="s">
        <v>33</v>
      </c>
      <c r="AZ13">
        <v>0.62307692307692297</v>
      </c>
      <c r="BA13" t="s">
        <v>33</v>
      </c>
      <c r="BB13">
        <v>0.79411764705882304</v>
      </c>
      <c r="BC13" t="s">
        <v>33</v>
      </c>
      <c r="BD13" t="s">
        <v>33</v>
      </c>
      <c r="BE13" t="s">
        <v>33</v>
      </c>
      <c r="BF13" t="s">
        <v>33</v>
      </c>
      <c r="BG13" t="s">
        <v>33</v>
      </c>
      <c r="BH13" t="s">
        <v>33</v>
      </c>
      <c r="BI13" t="s">
        <v>33</v>
      </c>
      <c r="BJ13" t="s">
        <v>33</v>
      </c>
      <c r="BK13" t="s">
        <v>33</v>
      </c>
      <c r="BL13" t="s">
        <v>33</v>
      </c>
      <c r="BM13" t="s">
        <v>33</v>
      </c>
      <c r="BN13" t="s">
        <v>33</v>
      </c>
      <c r="BO13" t="s">
        <v>33</v>
      </c>
      <c r="BP13" t="s">
        <v>33</v>
      </c>
      <c r="BQ13">
        <v>0.94240692627389799</v>
      </c>
      <c r="BR13">
        <v>0.98586175333064496</v>
      </c>
      <c r="BS13" t="s">
        <v>33</v>
      </c>
      <c r="BT13">
        <v>0.74647887323943596</v>
      </c>
      <c r="BU13" t="s">
        <v>33</v>
      </c>
      <c r="BV13" t="s">
        <v>33</v>
      </c>
      <c r="BW13" t="s">
        <v>33</v>
      </c>
      <c r="BX13" t="s">
        <v>33</v>
      </c>
      <c r="BY13" t="s">
        <v>33</v>
      </c>
      <c r="BZ13" t="s">
        <v>33</v>
      </c>
      <c r="CA13" t="s">
        <v>33</v>
      </c>
      <c r="CB13">
        <v>0.47058823529411697</v>
      </c>
      <c r="CC13" t="s">
        <v>33</v>
      </c>
      <c r="CD13">
        <v>0.434782608695652</v>
      </c>
      <c r="CE13" t="s">
        <v>33</v>
      </c>
      <c r="CF13" t="s">
        <v>33</v>
      </c>
      <c r="CG13" t="s">
        <v>33</v>
      </c>
      <c r="CI13">
        <f t="shared" si="2"/>
        <v>0.71390185242421345</v>
      </c>
      <c r="CJ13">
        <f t="shared" si="0"/>
        <v>0</v>
      </c>
      <c r="CK13">
        <f t="shared" si="1"/>
        <v>0</v>
      </c>
    </row>
    <row r="14" spans="1:90" x14ac:dyDescent="0.25">
      <c r="A14" t="s">
        <v>97</v>
      </c>
      <c r="B14">
        <v>3</v>
      </c>
      <c r="H14" t="s">
        <v>33</v>
      </c>
      <c r="I14" t="s">
        <v>33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  <c r="AD14" t="s">
        <v>33</v>
      </c>
      <c r="AE14" t="s">
        <v>33</v>
      </c>
      <c r="AF14" t="s">
        <v>33</v>
      </c>
      <c r="AG14" t="s">
        <v>33</v>
      </c>
      <c r="AH14" t="s">
        <v>33</v>
      </c>
      <c r="AI14" t="s">
        <v>33</v>
      </c>
      <c r="AJ14" t="s">
        <v>33</v>
      </c>
      <c r="AK14" t="s">
        <v>33</v>
      </c>
      <c r="AL14" t="s">
        <v>33</v>
      </c>
      <c r="AM14" t="s">
        <v>33</v>
      </c>
      <c r="AN14" t="s">
        <v>33</v>
      </c>
      <c r="AO14" t="s">
        <v>33</v>
      </c>
      <c r="AP14" t="s">
        <v>33</v>
      </c>
      <c r="AQ14" t="s">
        <v>33</v>
      </c>
      <c r="AR14" t="s">
        <v>33</v>
      </c>
      <c r="AS14" t="s">
        <v>33</v>
      </c>
      <c r="AT14" t="s">
        <v>33</v>
      </c>
      <c r="AU14" t="s">
        <v>33</v>
      </c>
      <c r="AV14" t="s">
        <v>33</v>
      </c>
      <c r="AW14" t="s">
        <v>33</v>
      </c>
      <c r="AX14" t="s">
        <v>33</v>
      </c>
      <c r="AY14" t="s">
        <v>33</v>
      </c>
      <c r="AZ14">
        <v>0.50450450450450401</v>
      </c>
      <c r="BA14" t="s">
        <v>33</v>
      </c>
      <c r="BB14">
        <v>0.15384615384615299</v>
      </c>
      <c r="BC14" t="s">
        <v>33</v>
      </c>
      <c r="BD14">
        <v>0.98555956678700296</v>
      </c>
      <c r="BE14" t="s">
        <v>33</v>
      </c>
      <c r="BF14" t="s">
        <v>33</v>
      </c>
      <c r="BG14" t="s">
        <v>33</v>
      </c>
      <c r="BH14">
        <v>0.71621621621621601</v>
      </c>
      <c r="BI14" t="s">
        <v>33</v>
      </c>
      <c r="BJ14" t="s">
        <v>33</v>
      </c>
      <c r="BK14" t="s">
        <v>33</v>
      </c>
      <c r="BL14" t="s">
        <v>33</v>
      </c>
      <c r="BM14" t="s">
        <v>33</v>
      </c>
      <c r="BN14">
        <v>0.87550854485339602</v>
      </c>
      <c r="BO14" t="s">
        <v>33</v>
      </c>
      <c r="BP14">
        <v>0.59731543624160999</v>
      </c>
      <c r="BQ14">
        <v>0.94262295081967196</v>
      </c>
      <c r="BR14">
        <v>0.67682913092451602</v>
      </c>
      <c r="BS14" t="s">
        <v>33</v>
      </c>
      <c r="BT14">
        <v>0.625</v>
      </c>
      <c r="BU14" t="s">
        <v>33</v>
      </c>
      <c r="BV14" t="s">
        <v>33</v>
      </c>
      <c r="BW14">
        <v>0.96485660757578795</v>
      </c>
      <c r="BX14" t="s">
        <v>33</v>
      </c>
      <c r="BY14" t="s">
        <v>33</v>
      </c>
      <c r="BZ14" t="s">
        <v>33</v>
      </c>
      <c r="CA14" t="s">
        <v>33</v>
      </c>
      <c r="CB14">
        <v>4.7619047619047603E-2</v>
      </c>
      <c r="CC14" t="s">
        <v>33</v>
      </c>
      <c r="CD14">
        <v>0.48412698412698402</v>
      </c>
      <c r="CE14" t="s">
        <v>33</v>
      </c>
      <c r="CF14" t="s">
        <v>33</v>
      </c>
      <c r="CG14" t="s">
        <v>33</v>
      </c>
      <c r="CI14">
        <f t="shared" si="2"/>
        <v>0.5733639991085705</v>
      </c>
      <c r="CJ14">
        <f t="shared" si="0"/>
        <v>0</v>
      </c>
      <c r="CK14">
        <f t="shared" si="1"/>
        <v>0.92018257621459199</v>
      </c>
    </row>
    <row r="15" spans="1:90" x14ac:dyDescent="0.25">
      <c r="A15" t="s">
        <v>130</v>
      </c>
      <c r="B15">
        <v>1</v>
      </c>
      <c r="C15" s="2">
        <v>10</v>
      </c>
      <c r="D15" s="2">
        <v>2</v>
      </c>
      <c r="E15" s="2">
        <v>2</v>
      </c>
      <c r="F15" s="2">
        <v>1</v>
      </c>
      <c r="G15" s="2">
        <v>1</v>
      </c>
      <c r="H15" t="s">
        <v>33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>
        <v>0.55849936157837698</v>
      </c>
      <c r="AB15" t="s">
        <v>33</v>
      </c>
      <c r="AC15" t="s">
        <v>33</v>
      </c>
      <c r="AD15" t="s">
        <v>33</v>
      </c>
      <c r="AE15" t="s">
        <v>33</v>
      </c>
      <c r="AF15" t="s">
        <v>33</v>
      </c>
      <c r="AG15" t="s">
        <v>33</v>
      </c>
      <c r="AH15" t="s">
        <v>33</v>
      </c>
      <c r="AI15" t="s">
        <v>33</v>
      </c>
      <c r="AJ15" t="s">
        <v>33</v>
      </c>
      <c r="AK15" t="s">
        <v>33</v>
      </c>
      <c r="AL15" t="s">
        <v>33</v>
      </c>
      <c r="AM15" t="s">
        <v>33</v>
      </c>
      <c r="AN15" t="s">
        <v>33</v>
      </c>
      <c r="AO15" t="s">
        <v>33</v>
      </c>
      <c r="AP15">
        <v>0.81379696822543601</v>
      </c>
      <c r="AQ15" t="s">
        <v>33</v>
      </c>
      <c r="AR15" t="s">
        <v>33</v>
      </c>
      <c r="AS15" t="s">
        <v>33</v>
      </c>
      <c r="AT15" t="s">
        <v>33</v>
      </c>
      <c r="AU15" t="s">
        <v>33</v>
      </c>
      <c r="AV15">
        <v>0</v>
      </c>
      <c r="AW15">
        <v>0</v>
      </c>
      <c r="AX15" t="s">
        <v>33</v>
      </c>
      <c r="AY15" t="s">
        <v>33</v>
      </c>
      <c r="AZ15" t="s">
        <v>33</v>
      </c>
      <c r="BA15" t="s">
        <v>33</v>
      </c>
      <c r="BB15" t="s">
        <v>33</v>
      </c>
      <c r="BC15" t="s">
        <v>33</v>
      </c>
      <c r="BD15" t="s">
        <v>33</v>
      </c>
      <c r="BE15" t="s">
        <v>33</v>
      </c>
      <c r="BF15">
        <v>0.56110326202087801</v>
      </c>
      <c r="BG15" t="s">
        <v>33</v>
      </c>
      <c r="BH15" t="s">
        <v>33</v>
      </c>
      <c r="BI15" t="s">
        <v>33</v>
      </c>
      <c r="BJ15" t="s">
        <v>33</v>
      </c>
      <c r="BK15" t="s">
        <v>33</v>
      </c>
      <c r="BL15" t="s">
        <v>33</v>
      </c>
      <c r="BM15" t="s">
        <v>33</v>
      </c>
      <c r="BN15" t="s">
        <v>33</v>
      </c>
      <c r="BO15" t="s">
        <v>33</v>
      </c>
      <c r="BP15" t="s">
        <v>33</v>
      </c>
      <c r="BQ15" t="s">
        <v>33</v>
      </c>
      <c r="BR15" t="s">
        <v>33</v>
      </c>
      <c r="BS15">
        <v>1</v>
      </c>
      <c r="BT15" t="s">
        <v>33</v>
      </c>
      <c r="BU15" t="s">
        <v>33</v>
      </c>
      <c r="BV15">
        <v>0.96922735666856596</v>
      </c>
      <c r="BW15">
        <v>0.533063888888888</v>
      </c>
      <c r="BX15" t="s">
        <v>33</v>
      </c>
      <c r="BY15" t="s">
        <v>33</v>
      </c>
      <c r="BZ15" t="s">
        <v>33</v>
      </c>
      <c r="CA15" t="s">
        <v>33</v>
      </c>
      <c r="CB15" t="s">
        <v>33</v>
      </c>
      <c r="CC15" t="s">
        <v>33</v>
      </c>
      <c r="CD15" t="s">
        <v>33</v>
      </c>
      <c r="CE15" t="s">
        <v>33</v>
      </c>
      <c r="CF15" t="s">
        <v>33</v>
      </c>
      <c r="CG15" t="s">
        <v>33</v>
      </c>
      <c r="CI15">
        <f t="shared" si="2"/>
        <v>0.55849936157837698</v>
      </c>
      <c r="CJ15">
        <f t="shared" si="0"/>
        <v>0.47498004604926275</v>
      </c>
      <c r="CK15">
        <f t="shared" si="1"/>
        <v>0.75114562277872698</v>
      </c>
    </row>
    <row r="16" spans="1:90" x14ac:dyDescent="0.25">
      <c r="A16" t="s">
        <v>119</v>
      </c>
      <c r="B16">
        <v>1</v>
      </c>
      <c r="C16" s="2">
        <v>9</v>
      </c>
      <c r="D16" s="2">
        <v>3</v>
      </c>
      <c r="E16" s="2">
        <v>3</v>
      </c>
      <c r="F16" s="2">
        <v>3</v>
      </c>
      <c r="G16" s="2">
        <v>3</v>
      </c>
      <c r="H16" t="s">
        <v>33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>
        <v>0.64483158972853505</v>
      </c>
      <c r="AB16" t="s">
        <v>33</v>
      </c>
      <c r="AC16" t="s">
        <v>33</v>
      </c>
      <c r="AD16" t="s">
        <v>33</v>
      </c>
      <c r="AE16" t="s">
        <v>33</v>
      </c>
      <c r="AF16" t="s">
        <v>33</v>
      </c>
      <c r="AG16" t="s">
        <v>33</v>
      </c>
      <c r="AH16" t="s">
        <v>33</v>
      </c>
      <c r="AI16" t="s">
        <v>33</v>
      </c>
      <c r="AJ16" t="s">
        <v>33</v>
      </c>
      <c r="AK16" t="s">
        <v>33</v>
      </c>
      <c r="AL16" t="s">
        <v>33</v>
      </c>
      <c r="AM16" t="s">
        <v>33</v>
      </c>
      <c r="AN16" t="s">
        <v>33</v>
      </c>
      <c r="AO16" t="s">
        <v>33</v>
      </c>
      <c r="AP16" t="s">
        <v>33</v>
      </c>
      <c r="AQ16">
        <v>1</v>
      </c>
      <c r="AR16">
        <v>0.63555664728810801</v>
      </c>
      <c r="AS16" t="s">
        <v>33</v>
      </c>
      <c r="AT16" t="s">
        <v>33</v>
      </c>
      <c r="AU16" t="s">
        <v>33</v>
      </c>
      <c r="AV16">
        <v>0.86526420163516804</v>
      </c>
      <c r="AW16" t="s">
        <v>33</v>
      </c>
      <c r="AX16" t="s">
        <v>33</v>
      </c>
      <c r="AY16" t="s">
        <v>33</v>
      </c>
      <c r="AZ16" t="s">
        <v>33</v>
      </c>
      <c r="BA16" t="s">
        <v>33</v>
      </c>
      <c r="BB16" t="s">
        <v>33</v>
      </c>
      <c r="BC16" t="s">
        <v>33</v>
      </c>
      <c r="BD16" t="s">
        <v>33</v>
      </c>
      <c r="BE16" t="s">
        <v>33</v>
      </c>
      <c r="BF16">
        <v>0.74054226073190599</v>
      </c>
      <c r="BG16" t="s">
        <v>33</v>
      </c>
      <c r="BH16" t="s">
        <v>33</v>
      </c>
      <c r="BI16" t="s">
        <v>33</v>
      </c>
      <c r="BJ16" t="s">
        <v>33</v>
      </c>
      <c r="BK16" t="s">
        <v>33</v>
      </c>
      <c r="BL16" t="s">
        <v>33</v>
      </c>
      <c r="BM16" t="s">
        <v>33</v>
      </c>
      <c r="BN16" t="s">
        <v>33</v>
      </c>
      <c r="BO16" t="s">
        <v>33</v>
      </c>
      <c r="BP16" t="s">
        <v>33</v>
      </c>
      <c r="BQ16" t="s">
        <v>33</v>
      </c>
      <c r="BR16" t="s">
        <v>33</v>
      </c>
      <c r="BS16">
        <v>0.77671328404376305</v>
      </c>
      <c r="BT16" t="s">
        <v>33</v>
      </c>
      <c r="BU16" t="s">
        <v>33</v>
      </c>
      <c r="BV16">
        <v>0.62567039437633598</v>
      </c>
      <c r="BW16">
        <v>0.67922249999999995</v>
      </c>
      <c r="BX16" t="s">
        <v>33</v>
      </c>
      <c r="BY16" t="s">
        <v>33</v>
      </c>
      <c r="BZ16" t="s">
        <v>33</v>
      </c>
      <c r="CA16" t="s">
        <v>33</v>
      </c>
      <c r="CB16" t="s">
        <v>33</v>
      </c>
      <c r="CC16" t="s">
        <v>33</v>
      </c>
      <c r="CD16" t="s">
        <v>33</v>
      </c>
      <c r="CE16" t="s">
        <v>33</v>
      </c>
      <c r="CF16" t="s">
        <v>33</v>
      </c>
      <c r="CG16" t="s">
        <v>33</v>
      </c>
      <c r="CI16">
        <f t="shared" si="2"/>
        <v>0.76012941233888098</v>
      </c>
      <c r="CJ16">
        <f t="shared" si="0"/>
        <v>0.79417324880361229</v>
      </c>
      <c r="CK16">
        <f t="shared" si="1"/>
        <v>0.65244644718816791</v>
      </c>
    </row>
    <row r="17" spans="1:89" x14ac:dyDescent="0.25">
      <c r="A17" t="s">
        <v>73</v>
      </c>
      <c r="B17" t="s">
        <v>72</v>
      </c>
      <c r="C17" s="2">
        <v>7</v>
      </c>
      <c r="D17" s="2">
        <v>2</v>
      </c>
      <c r="E17" s="2">
        <v>2</v>
      </c>
      <c r="F17" s="2">
        <v>2</v>
      </c>
      <c r="G17" s="2">
        <v>1</v>
      </c>
      <c r="H17" t="s">
        <v>33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33</v>
      </c>
      <c r="S17" t="s">
        <v>33</v>
      </c>
      <c r="T17">
        <v>1</v>
      </c>
      <c r="U17" t="s">
        <v>33</v>
      </c>
      <c r="V17">
        <v>1</v>
      </c>
      <c r="W17" t="s">
        <v>33</v>
      </c>
      <c r="X17">
        <v>0.90909090909090895</v>
      </c>
      <c r="Y17" t="s">
        <v>33</v>
      </c>
      <c r="Z17" t="s">
        <v>33</v>
      </c>
      <c r="AA17" t="s">
        <v>33</v>
      </c>
      <c r="AB17" t="s">
        <v>33</v>
      </c>
      <c r="AC17">
        <v>0.42789533155394999</v>
      </c>
      <c r="AD17" t="s">
        <v>33</v>
      </c>
      <c r="AE17" t="s">
        <v>33</v>
      </c>
      <c r="AF17" t="s">
        <v>33</v>
      </c>
      <c r="AG17" t="s">
        <v>33</v>
      </c>
      <c r="AH17">
        <v>0.96276595744680804</v>
      </c>
      <c r="AI17">
        <v>0.97</v>
      </c>
      <c r="AJ17" t="s">
        <v>33</v>
      </c>
      <c r="AK17">
        <v>0.42789533155394999</v>
      </c>
      <c r="AL17" t="s">
        <v>33</v>
      </c>
      <c r="AM17" t="s">
        <v>33</v>
      </c>
      <c r="AN17" t="s">
        <v>33</v>
      </c>
      <c r="AO17" t="s">
        <v>33</v>
      </c>
      <c r="AP17" t="s">
        <v>33</v>
      </c>
      <c r="AQ17" t="s">
        <v>33</v>
      </c>
      <c r="AR17" t="s">
        <v>33</v>
      </c>
      <c r="AS17" t="s">
        <v>33</v>
      </c>
      <c r="AT17" t="s">
        <v>33</v>
      </c>
      <c r="AU17" t="s">
        <v>33</v>
      </c>
      <c r="AV17" t="s">
        <v>33</v>
      </c>
      <c r="AW17" t="s">
        <v>33</v>
      </c>
      <c r="AX17">
        <v>0.102879424546663</v>
      </c>
      <c r="AY17" t="s">
        <v>33</v>
      </c>
      <c r="AZ17" t="s">
        <v>33</v>
      </c>
      <c r="BA17" t="s">
        <v>33</v>
      </c>
      <c r="BB17" t="s">
        <v>33</v>
      </c>
      <c r="BC17" t="s">
        <v>33</v>
      </c>
      <c r="BD17">
        <v>0.82442748091603002</v>
      </c>
      <c r="BE17">
        <v>1</v>
      </c>
      <c r="BF17">
        <v>1</v>
      </c>
      <c r="BG17" t="s">
        <v>33</v>
      </c>
      <c r="BH17" t="s">
        <v>33</v>
      </c>
      <c r="BI17">
        <v>0.83333333333333304</v>
      </c>
      <c r="BJ17">
        <v>0.47297297297297197</v>
      </c>
      <c r="BK17" t="s">
        <v>33</v>
      </c>
      <c r="BL17" t="s">
        <v>33</v>
      </c>
      <c r="BM17">
        <v>0.85365853658536495</v>
      </c>
      <c r="BN17">
        <v>0.93429927286043202</v>
      </c>
      <c r="BO17" t="s">
        <v>33</v>
      </c>
      <c r="BP17">
        <v>0.91472868217054204</v>
      </c>
      <c r="BQ17" t="s">
        <v>33</v>
      </c>
      <c r="BR17" t="s">
        <v>33</v>
      </c>
      <c r="BS17">
        <v>1</v>
      </c>
      <c r="BT17" t="s">
        <v>33</v>
      </c>
      <c r="BU17" t="s">
        <v>33</v>
      </c>
      <c r="BV17" t="s">
        <v>33</v>
      </c>
      <c r="BW17">
        <v>0.98373809459537098</v>
      </c>
      <c r="BX17" t="s">
        <v>33</v>
      </c>
      <c r="BY17">
        <v>0.27777777777777701</v>
      </c>
      <c r="BZ17">
        <v>0.74074074074074003</v>
      </c>
      <c r="CA17" t="s">
        <v>33</v>
      </c>
      <c r="CB17" t="s">
        <v>33</v>
      </c>
      <c r="CC17" t="s">
        <v>33</v>
      </c>
      <c r="CD17" t="s">
        <v>33</v>
      </c>
      <c r="CE17" t="s">
        <v>33</v>
      </c>
      <c r="CF17">
        <v>0.98550037884366803</v>
      </c>
      <c r="CG17" t="s">
        <v>33</v>
      </c>
      <c r="CI17">
        <f t="shared" si="2"/>
        <v>0.75823478958159829</v>
      </c>
      <c r="CJ17">
        <f t="shared" si="0"/>
        <v>0.77571985613666572</v>
      </c>
      <c r="CK17">
        <f t="shared" si="1"/>
        <v>0.96784591543315701</v>
      </c>
    </row>
    <row r="18" spans="1:89" x14ac:dyDescent="0.25">
      <c r="A18" t="s">
        <v>98</v>
      </c>
      <c r="B18">
        <v>3</v>
      </c>
      <c r="H18" t="s">
        <v>33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  <c r="AD18" t="s">
        <v>33</v>
      </c>
      <c r="AE18" t="s">
        <v>33</v>
      </c>
      <c r="AF18" t="s">
        <v>33</v>
      </c>
      <c r="AG18" t="s">
        <v>33</v>
      </c>
      <c r="AH18" t="s">
        <v>33</v>
      </c>
      <c r="AI18" t="s">
        <v>33</v>
      </c>
      <c r="AJ18" t="s">
        <v>33</v>
      </c>
      <c r="AK18" t="s">
        <v>33</v>
      </c>
      <c r="AL18" t="s">
        <v>33</v>
      </c>
      <c r="AM18" t="s">
        <v>33</v>
      </c>
      <c r="AN18" t="s">
        <v>33</v>
      </c>
      <c r="AO18" t="s">
        <v>33</v>
      </c>
      <c r="AP18" t="s">
        <v>33</v>
      </c>
      <c r="AQ18" t="s">
        <v>33</v>
      </c>
      <c r="AR18" t="s">
        <v>33</v>
      </c>
      <c r="AS18" t="s">
        <v>33</v>
      </c>
      <c r="AT18" t="s">
        <v>33</v>
      </c>
      <c r="AU18" t="s">
        <v>33</v>
      </c>
      <c r="AV18" t="s">
        <v>33</v>
      </c>
      <c r="AW18" t="s">
        <v>33</v>
      </c>
      <c r="AX18" t="s">
        <v>33</v>
      </c>
      <c r="AY18" t="s">
        <v>33</v>
      </c>
      <c r="AZ18">
        <v>0.92222222222222205</v>
      </c>
      <c r="BA18" t="s">
        <v>33</v>
      </c>
      <c r="BB18">
        <v>0.83076923076923004</v>
      </c>
      <c r="BC18" t="s">
        <v>33</v>
      </c>
      <c r="BD18" t="s">
        <v>33</v>
      </c>
      <c r="BE18" t="s">
        <v>33</v>
      </c>
      <c r="BF18" t="s">
        <v>33</v>
      </c>
      <c r="BG18" t="s">
        <v>33</v>
      </c>
      <c r="BH18" t="s">
        <v>33</v>
      </c>
      <c r="BI18" t="s">
        <v>33</v>
      </c>
      <c r="BJ18" t="s">
        <v>33</v>
      </c>
      <c r="BK18" t="s">
        <v>33</v>
      </c>
      <c r="BL18" t="s">
        <v>33</v>
      </c>
      <c r="BM18" t="s">
        <v>33</v>
      </c>
      <c r="BN18">
        <v>0.98383603758683802</v>
      </c>
      <c r="BO18" t="s">
        <v>33</v>
      </c>
      <c r="BP18" t="s">
        <v>33</v>
      </c>
      <c r="BQ18">
        <v>0.95145631067961101</v>
      </c>
      <c r="BR18">
        <v>0.95655642824376796</v>
      </c>
      <c r="BS18" t="s">
        <v>33</v>
      </c>
      <c r="BT18">
        <v>0.94029850746268595</v>
      </c>
      <c r="BU18" t="s">
        <v>33</v>
      </c>
      <c r="BV18" t="s">
        <v>33</v>
      </c>
      <c r="BW18" t="s">
        <v>33</v>
      </c>
      <c r="BX18" t="s">
        <v>33</v>
      </c>
      <c r="BY18" t="s">
        <v>33</v>
      </c>
      <c r="BZ18" t="s">
        <v>33</v>
      </c>
      <c r="CA18" t="s">
        <v>33</v>
      </c>
      <c r="CB18">
        <v>0.51351351351351304</v>
      </c>
      <c r="CC18" t="s">
        <v>33</v>
      </c>
      <c r="CD18">
        <v>0.80208333333333304</v>
      </c>
      <c r="CE18" t="s">
        <v>33</v>
      </c>
      <c r="CF18" t="s">
        <v>33</v>
      </c>
      <c r="CG18" t="s">
        <v>33</v>
      </c>
      <c r="CI18">
        <f t="shared" si="2"/>
        <v>0.84527136374633771</v>
      </c>
      <c r="CJ18">
        <f t="shared" si="0"/>
        <v>0</v>
      </c>
      <c r="CK18">
        <f t="shared" si="1"/>
        <v>0.98383603758683802</v>
      </c>
    </row>
    <row r="19" spans="1:89" x14ac:dyDescent="0.25">
      <c r="A19" t="s">
        <v>99</v>
      </c>
      <c r="B19">
        <v>3</v>
      </c>
      <c r="H19" t="s">
        <v>33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>
        <v>0.59933711119887201</v>
      </c>
      <c r="AD19" t="s">
        <v>33</v>
      </c>
      <c r="AE19" t="s">
        <v>33</v>
      </c>
      <c r="AF19" t="s">
        <v>33</v>
      </c>
      <c r="AG19" t="s">
        <v>33</v>
      </c>
      <c r="AH19" t="s">
        <v>33</v>
      </c>
      <c r="AI19" t="s">
        <v>33</v>
      </c>
      <c r="AJ19" t="s">
        <v>33</v>
      </c>
      <c r="AK19" t="s">
        <v>33</v>
      </c>
      <c r="AL19" t="s">
        <v>33</v>
      </c>
      <c r="AM19" t="s">
        <v>33</v>
      </c>
      <c r="AN19" t="s">
        <v>33</v>
      </c>
      <c r="AO19" t="s">
        <v>33</v>
      </c>
      <c r="AP19" t="s">
        <v>33</v>
      </c>
      <c r="AQ19" t="s">
        <v>33</v>
      </c>
      <c r="AR19" t="s">
        <v>33</v>
      </c>
      <c r="AS19" t="s">
        <v>33</v>
      </c>
      <c r="AT19" t="s">
        <v>33</v>
      </c>
      <c r="AU19" t="s">
        <v>33</v>
      </c>
      <c r="AV19" t="s">
        <v>33</v>
      </c>
      <c r="AW19" t="s">
        <v>33</v>
      </c>
      <c r="AX19" t="s">
        <v>33</v>
      </c>
      <c r="AY19" t="s">
        <v>33</v>
      </c>
      <c r="AZ19">
        <v>0.89075630252100801</v>
      </c>
      <c r="BA19">
        <v>1</v>
      </c>
      <c r="BB19">
        <v>0.95283018867924496</v>
      </c>
      <c r="BC19" t="s">
        <v>33</v>
      </c>
      <c r="BD19" t="s">
        <v>33</v>
      </c>
      <c r="BE19" t="s">
        <v>33</v>
      </c>
      <c r="BF19" t="s">
        <v>33</v>
      </c>
      <c r="BG19" t="s">
        <v>33</v>
      </c>
      <c r="BH19">
        <v>0.80208333333333304</v>
      </c>
      <c r="BI19" t="s">
        <v>33</v>
      </c>
      <c r="BJ19" t="s">
        <v>33</v>
      </c>
      <c r="BK19" t="s">
        <v>33</v>
      </c>
      <c r="BL19" t="s">
        <v>33</v>
      </c>
      <c r="BM19" t="s">
        <v>33</v>
      </c>
      <c r="BN19">
        <v>0.95651896947772597</v>
      </c>
      <c r="BO19" t="s">
        <v>33</v>
      </c>
      <c r="BP19" t="s">
        <v>33</v>
      </c>
      <c r="BQ19">
        <v>0.95890410958904104</v>
      </c>
      <c r="BR19" t="s">
        <v>33</v>
      </c>
      <c r="BS19" t="s">
        <v>33</v>
      </c>
      <c r="BT19">
        <v>0.85245901639344202</v>
      </c>
      <c r="BU19" t="s">
        <v>33</v>
      </c>
      <c r="BV19" t="s">
        <v>33</v>
      </c>
      <c r="BW19">
        <v>0.96978952031334897</v>
      </c>
      <c r="BX19" t="s">
        <v>33</v>
      </c>
      <c r="BY19" t="s">
        <v>33</v>
      </c>
      <c r="BZ19" t="s">
        <v>33</v>
      </c>
      <c r="CA19">
        <v>0.84611569951794496</v>
      </c>
      <c r="CB19">
        <v>0.85365853658536495</v>
      </c>
      <c r="CC19" t="s">
        <v>33</v>
      </c>
      <c r="CD19">
        <v>0.75</v>
      </c>
      <c r="CE19" t="s">
        <v>33</v>
      </c>
      <c r="CF19" t="s">
        <v>33</v>
      </c>
      <c r="CG19" t="s">
        <v>33</v>
      </c>
      <c r="CI19">
        <f t="shared" si="2"/>
        <v>0.85111428870003403</v>
      </c>
      <c r="CJ19">
        <f t="shared" si="0"/>
        <v>0</v>
      </c>
      <c r="CK19">
        <f>AVERAGE(BK19,BL19,BN19,BU19,BV19,BW19,BX19,CA19,CE19,CF19)</f>
        <v>0.92414139643633997</v>
      </c>
    </row>
    <row r="20" spans="1:89" x14ac:dyDescent="0.25">
      <c r="A20" t="s">
        <v>100</v>
      </c>
      <c r="B20">
        <v>3</v>
      </c>
      <c r="H20" t="s">
        <v>33</v>
      </c>
      <c r="I20" t="s">
        <v>33</v>
      </c>
      <c r="J20" t="s">
        <v>33</v>
      </c>
      <c r="K20" t="s">
        <v>33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t="s">
        <v>33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  <c r="AC20" t="s">
        <v>33</v>
      </c>
      <c r="AD20" t="s">
        <v>33</v>
      </c>
      <c r="AE20" t="s">
        <v>33</v>
      </c>
      <c r="AF20" t="s">
        <v>33</v>
      </c>
      <c r="AG20" t="s">
        <v>33</v>
      </c>
      <c r="AH20" t="s">
        <v>33</v>
      </c>
      <c r="AI20" t="s">
        <v>33</v>
      </c>
      <c r="AJ20" t="s">
        <v>33</v>
      </c>
      <c r="AK20" t="s">
        <v>33</v>
      </c>
      <c r="AL20" t="s">
        <v>33</v>
      </c>
      <c r="AM20" t="s">
        <v>33</v>
      </c>
      <c r="AN20" t="s">
        <v>33</v>
      </c>
      <c r="AO20" t="s">
        <v>33</v>
      </c>
      <c r="AP20" t="s">
        <v>33</v>
      </c>
      <c r="AQ20" t="s">
        <v>33</v>
      </c>
      <c r="AR20" t="s">
        <v>33</v>
      </c>
      <c r="AS20" t="s">
        <v>33</v>
      </c>
      <c r="AT20" t="s">
        <v>33</v>
      </c>
      <c r="AU20" t="s">
        <v>33</v>
      </c>
      <c r="AV20" t="s">
        <v>33</v>
      </c>
      <c r="AW20" t="s">
        <v>33</v>
      </c>
      <c r="AX20" t="s">
        <v>33</v>
      </c>
      <c r="AY20" t="s">
        <v>33</v>
      </c>
      <c r="AZ20">
        <v>0.84729064039408797</v>
      </c>
      <c r="BA20" t="s">
        <v>33</v>
      </c>
      <c r="BB20">
        <v>0.83333333333333304</v>
      </c>
      <c r="BC20" t="s">
        <v>33</v>
      </c>
      <c r="BD20" t="s">
        <v>33</v>
      </c>
      <c r="BE20" t="s">
        <v>33</v>
      </c>
      <c r="BF20" t="s">
        <v>33</v>
      </c>
      <c r="BG20" t="s">
        <v>33</v>
      </c>
      <c r="BH20">
        <v>0.79824561403508698</v>
      </c>
      <c r="BI20" t="s">
        <v>33</v>
      </c>
      <c r="BJ20" t="s">
        <v>33</v>
      </c>
      <c r="BK20" t="s">
        <v>33</v>
      </c>
      <c r="BL20" t="s">
        <v>33</v>
      </c>
      <c r="BM20" t="s">
        <v>33</v>
      </c>
      <c r="BN20">
        <v>0.97835909590643</v>
      </c>
      <c r="BO20" t="s">
        <v>33</v>
      </c>
      <c r="BP20" t="s">
        <v>33</v>
      </c>
      <c r="BQ20">
        <v>0.63243808769013998</v>
      </c>
      <c r="BR20">
        <v>0.91578947368421004</v>
      </c>
      <c r="BS20" t="s">
        <v>33</v>
      </c>
      <c r="BT20">
        <v>0.89473684210526305</v>
      </c>
      <c r="BU20" t="s">
        <v>33</v>
      </c>
      <c r="BV20" t="s">
        <v>33</v>
      </c>
      <c r="BW20" t="s">
        <v>33</v>
      </c>
      <c r="BX20" t="s">
        <v>33</v>
      </c>
      <c r="BY20" t="s">
        <v>33</v>
      </c>
      <c r="BZ20" t="s">
        <v>33</v>
      </c>
      <c r="CA20" t="s">
        <v>33</v>
      </c>
      <c r="CB20">
        <v>0.5</v>
      </c>
      <c r="CC20" t="s">
        <v>33</v>
      </c>
      <c r="CD20">
        <v>0.52941176470588203</v>
      </c>
      <c r="CE20" t="s">
        <v>33</v>
      </c>
      <c r="CF20" t="s">
        <v>33</v>
      </c>
      <c r="CG20" t="s">
        <v>33</v>
      </c>
      <c r="CI20">
        <f t="shared" si="2"/>
        <v>0.74390571949350048</v>
      </c>
      <c r="CJ20">
        <f t="shared" si="0"/>
        <v>0</v>
      </c>
      <c r="CK20">
        <f t="shared" si="1"/>
        <v>0.97835909590643</v>
      </c>
    </row>
    <row r="21" spans="1:89" x14ac:dyDescent="0.25">
      <c r="A21" t="s">
        <v>101</v>
      </c>
      <c r="B21">
        <v>3</v>
      </c>
      <c r="H21" t="s">
        <v>33</v>
      </c>
      <c r="I21" t="s">
        <v>33</v>
      </c>
      <c r="J21" t="s">
        <v>33</v>
      </c>
      <c r="K21" t="s">
        <v>33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33</v>
      </c>
      <c r="Y21" t="s">
        <v>33</v>
      </c>
      <c r="Z21" t="s">
        <v>33</v>
      </c>
      <c r="AA21" t="s">
        <v>33</v>
      </c>
      <c r="AB21" t="s">
        <v>33</v>
      </c>
      <c r="AC21" t="s">
        <v>33</v>
      </c>
      <c r="AD21" t="s">
        <v>33</v>
      </c>
      <c r="AE21" t="s">
        <v>33</v>
      </c>
      <c r="AF21" t="s">
        <v>33</v>
      </c>
      <c r="AG21" t="s">
        <v>33</v>
      </c>
      <c r="AH21" t="s">
        <v>33</v>
      </c>
      <c r="AI21" t="s">
        <v>33</v>
      </c>
      <c r="AJ21" t="s">
        <v>33</v>
      </c>
      <c r="AK21" t="s">
        <v>33</v>
      </c>
      <c r="AL21" t="s">
        <v>33</v>
      </c>
      <c r="AM21" t="s">
        <v>33</v>
      </c>
      <c r="AN21" t="s">
        <v>33</v>
      </c>
      <c r="AO21" t="s">
        <v>33</v>
      </c>
      <c r="AP21" t="s">
        <v>33</v>
      </c>
      <c r="AQ21" t="s">
        <v>33</v>
      </c>
      <c r="AR21" t="s">
        <v>33</v>
      </c>
      <c r="AS21" t="s">
        <v>33</v>
      </c>
      <c r="AT21" t="s">
        <v>33</v>
      </c>
      <c r="AU21" t="s">
        <v>33</v>
      </c>
      <c r="AV21" t="s">
        <v>33</v>
      </c>
      <c r="AW21" t="s">
        <v>33</v>
      </c>
      <c r="AX21" t="s">
        <v>33</v>
      </c>
      <c r="AY21" t="s">
        <v>33</v>
      </c>
      <c r="AZ21" t="s">
        <v>33</v>
      </c>
      <c r="BA21" t="s">
        <v>33</v>
      </c>
      <c r="BB21">
        <v>0.92</v>
      </c>
      <c r="BC21" t="s">
        <v>33</v>
      </c>
      <c r="BD21" t="s">
        <v>33</v>
      </c>
      <c r="BE21" t="s">
        <v>33</v>
      </c>
      <c r="BF21" t="s">
        <v>33</v>
      </c>
      <c r="BG21" t="s">
        <v>33</v>
      </c>
      <c r="BH21">
        <v>0.90540540540540504</v>
      </c>
      <c r="BI21" t="s">
        <v>33</v>
      </c>
      <c r="BJ21" t="s">
        <v>33</v>
      </c>
      <c r="BK21" t="s">
        <v>33</v>
      </c>
      <c r="BL21" t="s">
        <v>33</v>
      </c>
      <c r="BM21" t="s">
        <v>33</v>
      </c>
      <c r="BN21">
        <v>0.95262503021546696</v>
      </c>
      <c r="BO21" t="s">
        <v>33</v>
      </c>
      <c r="BP21" t="s">
        <v>33</v>
      </c>
      <c r="BQ21">
        <v>0.93069306930692997</v>
      </c>
      <c r="BR21">
        <v>0.93277310924369705</v>
      </c>
      <c r="BS21" t="s">
        <v>33</v>
      </c>
      <c r="BT21">
        <v>0.89830508474576198</v>
      </c>
      <c r="BU21" t="s">
        <v>33</v>
      </c>
      <c r="BV21" t="s">
        <v>33</v>
      </c>
      <c r="BW21" t="s">
        <v>33</v>
      </c>
      <c r="BX21" t="s">
        <v>33</v>
      </c>
      <c r="BY21" t="s">
        <v>33</v>
      </c>
      <c r="BZ21" t="s">
        <v>33</v>
      </c>
      <c r="CA21" t="s">
        <v>33</v>
      </c>
      <c r="CB21">
        <v>0.26388888888888801</v>
      </c>
      <c r="CC21" t="s">
        <v>33</v>
      </c>
      <c r="CD21">
        <v>0.80555555555555503</v>
      </c>
      <c r="CE21" t="s">
        <v>33</v>
      </c>
      <c r="CF21" t="s">
        <v>33</v>
      </c>
      <c r="CG21" t="s">
        <v>33</v>
      </c>
      <c r="CI21">
        <f t="shared" si="2"/>
        <v>0.80808873044946239</v>
      </c>
      <c r="CJ21">
        <f t="shared" si="0"/>
        <v>0</v>
      </c>
      <c r="CK21">
        <f t="shared" si="1"/>
        <v>0.95262503021546696</v>
      </c>
    </row>
    <row r="22" spans="1:89" x14ac:dyDescent="0.25">
      <c r="A22" t="s">
        <v>81</v>
      </c>
      <c r="B22" t="s">
        <v>72</v>
      </c>
      <c r="C22" s="2">
        <v>6</v>
      </c>
      <c r="D22" s="2">
        <v>2</v>
      </c>
      <c r="E22" s="2">
        <v>2</v>
      </c>
      <c r="F22" s="2">
        <v>2</v>
      </c>
      <c r="G22" s="2">
        <v>1</v>
      </c>
      <c r="H22" t="s">
        <v>33</v>
      </c>
      <c r="I22" t="s">
        <v>33</v>
      </c>
      <c r="J22">
        <v>0.967741935483871</v>
      </c>
      <c r="K22">
        <v>0.89655172413793105</v>
      </c>
      <c r="L22">
        <v>0.94117647058823495</v>
      </c>
      <c r="M22">
        <v>0.64583333333333304</v>
      </c>
      <c r="N22">
        <v>0.90834932773194399</v>
      </c>
      <c r="O22">
        <v>0.30344827586206802</v>
      </c>
      <c r="P22" t="s">
        <v>33</v>
      </c>
      <c r="Q22" t="s">
        <v>33</v>
      </c>
      <c r="R22" t="s">
        <v>33</v>
      </c>
      <c r="S22" t="s">
        <v>33</v>
      </c>
      <c r="T22">
        <v>0.137681159420289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33</v>
      </c>
      <c r="AA22" t="s">
        <v>33</v>
      </c>
      <c r="AB22" t="s">
        <v>33</v>
      </c>
      <c r="AC22">
        <v>0.601191601788578</v>
      </c>
      <c r="AD22" t="s">
        <v>33</v>
      </c>
      <c r="AE22" t="s">
        <v>33</v>
      </c>
      <c r="AF22" t="s">
        <v>33</v>
      </c>
      <c r="AG22" t="s">
        <v>33</v>
      </c>
      <c r="AH22">
        <v>0.69444444444444398</v>
      </c>
      <c r="AI22">
        <v>0.83593479161731898</v>
      </c>
      <c r="AJ22" t="s">
        <v>33</v>
      </c>
      <c r="AK22">
        <v>0.73667730207005599</v>
      </c>
      <c r="AL22">
        <v>0.85479407777098604</v>
      </c>
      <c r="AM22" t="s">
        <v>33</v>
      </c>
      <c r="AN22" t="s">
        <v>33</v>
      </c>
      <c r="AO22" t="s">
        <v>33</v>
      </c>
      <c r="AP22" t="s">
        <v>33</v>
      </c>
      <c r="AQ22" t="s">
        <v>33</v>
      </c>
      <c r="AR22" t="s">
        <v>33</v>
      </c>
      <c r="AS22" t="s">
        <v>33</v>
      </c>
      <c r="AT22" t="s">
        <v>33</v>
      </c>
      <c r="AU22" t="s">
        <v>33</v>
      </c>
      <c r="AV22" t="s">
        <v>33</v>
      </c>
      <c r="AW22">
        <v>0</v>
      </c>
      <c r="AX22">
        <v>0</v>
      </c>
      <c r="AY22" t="s">
        <v>33</v>
      </c>
      <c r="AZ22" t="s">
        <v>33</v>
      </c>
      <c r="BA22" t="s">
        <v>33</v>
      </c>
      <c r="BB22" t="s">
        <v>33</v>
      </c>
      <c r="BC22">
        <v>0.44528931866219201</v>
      </c>
      <c r="BD22">
        <v>0.85314685314685301</v>
      </c>
      <c r="BE22">
        <v>0.44528931866219201</v>
      </c>
      <c r="BF22">
        <v>0.64242448501431904</v>
      </c>
      <c r="BG22" t="s">
        <v>33</v>
      </c>
      <c r="BH22" t="s">
        <v>33</v>
      </c>
      <c r="BI22" t="s">
        <v>33</v>
      </c>
      <c r="BJ22">
        <v>0.39215686274509798</v>
      </c>
      <c r="BK22" t="s">
        <v>33</v>
      </c>
      <c r="BL22" t="s">
        <v>33</v>
      </c>
      <c r="BM22">
        <v>0.68965517241379304</v>
      </c>
      <c r="BN22">
        <v>0.92333618894359104</v>
      </c>
      <c r="BO22" t="s">
        <v>33</v>
      </c>
      <c r="BP22">
        <v>0.91489361702127603</v>
      </c>
      <c r="BQ22" t="s">
        <v>33</v>
      </c>
      <c r="BR22" t="s">
        <v>33</v>
      </c>
      <c r="BS22">
        <v>1</v>
      </c>
      <c r="BT22" t="s">
        <v>33</v>
      </c>
      <c r="BU22" t="s">
        <v>33</v>
      </c>
      <c r="BV22" t="s">
        <v>33</v>
      </c>
      <c r="BW22">
        <v>0.99626166990302201</v>
      </c>
      <c r="BX22" t="s">
        <v>33</v>
      </c>
      <c r="BY22">
        <v>0.8</v>
      </c>
      <c r="BZ22">
        <v>0.45454545454545398</v>
      </c>
      <c r="CA22" t="s">
        <v>33</v>
      </c>
      <c r="CB22" t="s">
        <v>33</v>
      </c>
      <c r="CC22" t="s">
        <v>33</v>
      </c>
      <c r="CD22" t="s">
        <v>33</v>
      </c>
      <c r="CE22" t="s">
        <v>33</v>
      </c>
      <c r="CF22">
        <v>0.92634001290589496</v>
      </c>
      <c r="CG22">
        <v>1</v>
      </c>
      <c r="CI22">
        <f t="shared" si="2"/>
        <v>0.70963490701947463</v>
      </c>
      <c r="CJ22">
        <f t="shared" si="0"/>
        <v>0.48397102858709845</v>
      </c>
      <c r="CK22">
        <f t="shared" si="1"/>
        <v>0.94864595725083589</v>
      </c>
    </row>
    <row r="23" spans="1:89" x14ac:dyDescent="0.25">
      <c r="A23" t="s">
        <v>102</v>
      </c>
      <c r="B23">
        <v>3</v>
      </c>
      <c r="H23" t="s">
        <v>33</v>
      </c>
      <c r="I23" t="s">
        <v>33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  <c r="AA23" t="s">
        <v>33</v>
      </c>
      <c r="AB23" t="s">
        <v>33</v>
      </c>
      <c r="AC23" t="s">
        <v>33</v>
      </c>
      <c r="AD23" t="s">
        <v>33</v>
      </c>
      <c r="AE23" t="s">
        <v>33</v>
      </c>
      <c r="AF23" t="s">
        <v>33</v>
      </c>
      <c r="AG23" t="s">
        <v>33</v>
      </c>
      <c r="AH23" t="s">
        <v>33</v>
      </c>
      <c r="AI23" t="s">
        <v>33</v>
      </c>
      <c r="AJ23" t="s">
        <v>33</v>
      </c>
      <c r="AK23" t="s">
        <v>33</v>
      </c>
      <c r="AL23" t="s">
        <v>33</v>
      </c>
      <c r="AM23" t="s">
        <v>33</v>
      </c>
      <c r="AN23" t="s">
        <v>33</v>
      </c>
      <c r="AO23" t="s">
        <v>33</v>
      </c>
      <c r="AP23" t="s">
        <v>33</v>
      </c>
      <c r="AQ23" t="s">
        <v>33</v>
      </c>
      <c r="AR23" t="s">
        <v>33</v>
      </c>
      <c r="AS23" t="s">
        <v>33</v>
      </c>
      <c r="AT23" t="s">
        <v>33</v>
      </c>
      <c r="AU23" t="s">
        <v>33</v>
      </c>
      <c r="AV23" t="s">
        <v>33</v>
      </c>
      <c r="AW23" t="s">
        <v>33</v>
      </c>
      <c r="AX23" t="s">
        <v>33</v>
      </c>
      <c r="AY23" t="s">
        <v>33</v>
      </c>
      <c r="AZ23" t="s">
        <v>33</v>
      </c>
      <c r="BA23" t="s">
        <v>33</v>
      </c>
      <c r="BB23">
        <v>0.95270270270270196</v>
      </c>
      <c r="BC23" t="s">
        <v>33</v>
      </c>
      <c r="BD23" t="s">
        <v>33</v>
      </c>
      <c r="BE23" t="s">
        <v>33</v>
      </c>
      <c r="BF23" t="s">
        <v>33</v>
      </c>
      <c r="BG23" t="s">
        <v>33</v>
      </c>
      <c r="BH23" t="s">
        <v>33</v>
      </c>
      <c r="BI23" t="s">
        <v>33</v>
      </c>
      <c r="BJ23" t="s">
        <v>33</v>
      </c>
      <c r="BK23" t="s">
        <v>33</v>
      </c>
      <c r="BL23" t="s">
        <v>33</v>
      </c>
      <c r="BM23" t="s">
        <v>33</v>
      </c>
      <c r="BN23">
        <v>0.97784297790880803</v>
      </c>
      <c r="BO23" t="s">
        <v>33</v>
      </c>
      <c r="BP23" t="s">
        <v>33</v>
      </c>
      <c r="BQ23">
        <v>0.95959900415263399</v>
      </c>
      <c r="BR23">
        <v>0.92287646759978803</v>
      </c>
      <c r="BS23" t="s">
        <v>33</v>
      </c>
      <c r="BT23">
        <v>0.946938775510204</v>
      </c>
      <c r="BU23" t="s">
        <v>33</v>
      </c>
      <c r="BV23" t="s">
        <v>33</v>
      </c>
      <c r="BW23" t="s">
        <v>33</v>
      </c>
      <c r="BX23" t="s">
        <v>33</v>
      </c>
      <c r="BY23" t="s">
        <v>33</v>
      </c>
      <c r="BZ23" t="s">
        <v>33</v>
      </c>
      <c r="CA23" t="s">
        <v>33</v>
      </c>
      <c r="CB23">
        <v>0.53310104529616698</v>
      </c>
      <c r="CC23" t="s">
        <v>33</v>
      </c>
      <c r="CD23">
        <v>0.875358166189111</v>
      </c>
      <c r="CE23" t="s">
        <v>33</v>
      </c>
      <c r="CF23" t="s">
        <v>33</v>
      </c>
      <c r="CG23" t="s">
        <v>33</v>
      </c>
      <c r="CI23">
        <f t="shared" si="2"/>
        <v>0.86509602690843412</v>
      </c>
      <c r="CJ23">
        <f t="shared" si="0"/>
        <v>0</v>
      </c>
      <c r="CK23">
        <f t="shared" si="1"/>
        <v>0.97784297790880803</v>
      </c>
    </row>
    <row r="24" spans="1:89" x14ac:dyDescent="0.25">
      <c r="A24" t="s">
        <v>39</v>
      </c>
      <c r="B24" t="s">
        <v>72</v>
      </c>
      <c r="C24" s="2">
        <v>7</v>
      </c>
      <c r="D24" s="2">
        <v>2</v>
      </c>
      <c r="E24" s="2">
        <v>2</v>
      </c>
      <c r="F24" s="2">
        <v>2</v>
      </c>
      <c r="G24" s="2">
        <v>2</v>
      </c>
      <c r="H24" t="s">
        <v>33</v>
      </c>
      <c r="I24" t="s">
        <v>33</v>
      </c>
      <c r="J24">
        <v>0.967741935483871</v>
      </c>
      <c r="K24" t="s">
        <v>33</v>
      </c>
      <c r="L24">
        <v>0.96231709777033103</v>
      </c>
      <c r="M24">
        <v>0.86206896551724099</v>
      </c>
      <c r="N24" t="s">
        <v>33</v>
      </c>
      <c r="O24">
        <v>0.68965517241379304</v>
      </c>
      <c r="P24" t="s">
        <v>33</v>
      </c>
      <c r="Q24" t="s">
        <v>33</v>
      </c>
      <c r="R24" t="s">
        <v>33</v>
      </c>
      <c r="S24" t="s">
        <v>33</v>
      </c>
      <c r="T24">
        <v>0.83333333333333304</v>
      </c>
      <c r="U24" t="s">
        <v>33</v>
      </c>
      <c r="V24">
        <v>1</v>
      </c>
      <c r="W24">
        <v>0.45165855432399299</v>
      </c>
      <c r="X24" t="s">
        <v>33</v>
      </c>
      <c r="Y24" t="s">
        <v>33</v>
      </c>
      <c r="Z24" t="s">
        <v>33</v>
      </c>
      <c r="AA24" t="s">
        <v>33</v>
      </c>
      <c r="AB24">
        <v>0.46815329526646499</v>
      </c>
      <c r="AC24">
        <v>0.42222244425225097</v>
      </c>
      <c r="AD24" t="s">
        <v>33</v>
      </c>
      <c r="AE24" t="s">
        <v>33</v>
      </c>
      <c r="AF24" t="s">
        <v>33</v>
      </c>
      <c r="AG24" t="s">
        <v>33</v>
      </c>
      <c r="AH24" t="s">
        <v>33</v>
      </c>
      <c r="AI24">
        <v>0.95663335505970104</v>
      </c>
      <c r="AJ24" t="s">
        <v>33</v>
      </c>
      <c r="AK24" t="s">
        <v>33</v>
      </c>
      <c r="AL24" t="s">
        <v>33</v>
      </c>
      <c r="AM24" t="s">
        <v>33</v>
      </c>
      <c r="AN24" t="s">
        <v>33</v>
      </c>
      <c r="AO24" t="s">
        <v>33</v>
      </c>
      <c r="AP24" t="s">
        <v>33</v>
      </c>
      <c r="AQ24" t="s">
        <v>33</v>
      </c>
      <c r="AR24" t="s">
        <v>33</v>
      </c>
      <c r="AS24" t="s">
        <v>33</v>
      </c>
      <c r="AT24" t="s">
        <v>33</v>
      </c>
      <c r="AU24" t="s">
        <v>33</v>
      </c>
      <c r="AV24" t="s">
        <v>33</v>
      </c>
      <c r="AW24">
        <v>0</v>
      </c>
      <c r="AX24" t="s">
        <v>33</v>
      </c>
      <c r="AY24" t="s">
        <v>33</v>
      </c>
      <c r="AZ24" t="s">
        <v>33</v>
      </c>
      <c r="BA24" t="s">
        <v>33</v>
      </c>
      <c r="BB24" t="s">
        <v>33</v>
      </c>
      <c r="BC24" t="s">
        <v>33</v>
      </c>
      <c r="BD24">
        <v>0.81102362204724399</v>
      </c>
      <c r="BE24">
        <v>1</v>
      </c>
      <c r="BF24">
        <v>0.68751040029859301</v>
      </c>
      <c r="BG24" t="s">
        <v>33</v>
      </c>
      <c r="BH24" t="s">
        <v>33</v>
      </c>
      <c r="BI24" t="s">
        <v>33</v>
      </c>
      <c r="BJ24">
        <v>0.625</v>
      </c>
      <c r="BK24" t="s">
        <v>33</v>
      </c>
      <c r="BL24" t="s">
        <v>33</v>
      </c>
      <c r="BM24">
        <v>0.65217391304347805</v>
      </c>
      <c r="BN24">
        <v>0.89943953621361095</v>
      </c>
      <c r="BO24" t="s">
        <v>33</v>
      </c>
      <c r="BP24">
        <v>0.92134831460674105</v>
      </c>
      <c r="BQ24" t="s">
        <v>33</v>
      </c>
      <c r="BR24" t="s">
        <v>33</v>
      </c>
      <c r="BS24">
        <v>1</v>
      </c>
      <c r="BT24" t="s">
        <v>33</v>
      </c>
      <c r="BU24" t="s">
        <v>33</v>
      </c>
      <c r="BV24" t="s">
        <v>33</v>
      </c>
      <c r="BW24">
        <v>0.89813390952248195</v>
      </c>
      <c r="BX24" t="s">
        <v>33</v>
      </c>
      <c r="BY24">
        <v>0.90909090909090895</v>
      </c>
      <c r="BZ24">
        <v>0.86956521739130399</v>
      </c>
      <c r="CA24" t="s">
        <v>33</v>
      </c>
      <c r="CB24" t="s">
        <v>33</v>
      </c>
      <c r="CC24" t="s">
        <v>33</v>
      </c>
      <c r="CD24" t="s">
        <v>33</v>
      </c>
      <c r="CE24" t="s">
        <v>33</v>
      </c>
      <c r="CF24">
        <v>0.998769186320556</v>
      </c>
      <c r="CG24" t="s">
        <v>33</v>
      </c>
      <c r="CI24">
        <f t="shared" si="2"/>
        <v>0.82015530571501394</v>
      </c>
      <c r="CJ24">
        <f t="shared" si="0"/>
        <v>0.60122037498150849</v>
      </c>
      <c r="CK24">
        <f t="shared" si="1"/>
        <v>0.93211421068554967</v>
      </c>
    </row>
    <row r="25" spans="1:89" x14ac:dyDescent="0.25">
      <c r="A25" t="s">
        <v>40</v>
      </c>
      <c r="B25" t="s">
        <v>131</v>
      </c>
      <c r="H25" t="s">
        <v>33</v>
      </c>
      <c r="I25" t="s">
        <v>33</v>
      </c>
      <c r="J25" t="s">
        <v>33</v>
      </c>
      <c r="K25" t="s">
        <v>33</v>
      </c>
      <c r="L25">
        <v>0.74074074074074003</v>
      </c>
      <c r="M25">
        <v>0.66666666666666596</v>
      </c>
      <c r="N25" t="s">
        <v>33</v>
      </c>
      <c r="O25" t="s">
        <v>33</v>
      </c>
      <c r="P25" t="s">
        <v>33</v>
      </c>
      <c r="Q25">
        <v>0.75</v>
      </c>
      <c r="R25">
        <v>0.81516720020741396</v>
      </c>
      <c r="S25" t="s">
        <v>33</v>
      </c>
      <c r="T25">
        <v>0.57692307692307598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 t="s">
        <v>33</v>
      </c>
      <c r="AA25" t="s">
        <v>33</v>
      </c>
      <c r="AB25" t="s">
        <v>33</v>
      </c>
      <c r="AC25" t="s">
        <v>33</v>
      </c>
      <c r="AD25" t="s">
        <v>33</v>
      </c>
      <c r="AE25" t="s">
        <v>33</v>
      </c>
      <c r="AF25" t="s">
        <v>33</v>
      </c>
      <c r="AG25" t="s">
        <v>33</v>
      </c>
      <c r="AH25" t="s">
        <v>33</v>
      </c>
      <c r="AI25" t="s">
        <v>33</v>
      </c>
      <c r="AJ25" t="s">
        <v>33</v>
      </c>
      <c r="AK25" t="s">
        <v>33</v>
      </c>
      <c r="AL25" t="s">
        <v>33</v>
      </c>
      <c r="AM25" t="s">
        <v>33</v>
      </c>
      <c r="AN25" t="s">
        <v>33</v>
      </c>
      <c r="AO25" t="s">
        <v>33</v>
      </c>
      <c r="AP25" t="s">
        <v>33</v>
      </c>
      <c r="AQ25" t="s">
        <v>33</v>
      </c>
      <c r="AR25" t="s">
        <v>33</v>
      </c>
      <c r="AS25" t="s">
        <v>33</v>
      </c>
      <c r="AT25" t="s">
        <v>33</v>
      </c>
      <c r="AU25" t="s">
        <v>33</v>
      </c>
      <c r="AV25" t="s">
        <v>33</v>
      </c>
      <c r="AW25" t="s">
        <v>33</v>
      </c>
      <c r="AX25" t="s">
        <v>33</v>
      </c>
      <c r="AY25" t="s">
        <v>33</v>
      </c>
      <c r="AZ25" t="s">
        <v>33</v>
      </c>
      <c r="BA25" t="s">
        <v>33</v>
      </c>
      <c r="BB25" t="s">
        <v>33</v>
      </c>
      <c r="BC25" t="s">
        <v>33</v>
      </c>
      <c r="BD25" t="s">
        <v>33</v>
      </c>
      <c r="BE25" t="s">
        <v>33</v>
      </c>
      <c r="BF25" t="s">
        <v>33</v>
      </c>
      <c r="BG25" t="s">
        <v>33</v>
      </c>
      <c r="BH25" t="s">
        <v>33</v>
      </c>
      <c r="BI25" t="s">
        <v>33</v>
      </c>
      <c r="BJ25" t="s">
        <v>33</v>
      </c>
      <c r="BK25" t="s">
        <v>33</v>
      </c>
      <c r="BL25" t="s">
        <v>33</v>
      </c>
      <c r="BM25" t="s">
        <v>33</v>
      </c>
      <c r="BN25" t="s">
        <v>33</v>
      </c>
      <c r="BO25" t="s">
        <v>33</v>
      </c>
      <c r="BP25" t="s">
        <v>33</v>
      </c>
      <c r="BQ25" t="s">
        <v>33</v>
      </c>
      <c r="BR25" t="s">
        <v>33</v>
      </c>
      <c r="BS25" t="s">
        <v>33</v>
      </c>
      <c r="BT25" t="s">
        <v>33</v>
      </c>
      <c r="BU25" t="s">
        <v>33</v>
      </c>
      <c r="BV25" t="s">
        <v>33</v>
      </c>
      <c r="BW25" t="s">
        <v>33</v>
      </c>
      <c r="BX25" t="s">
        <v>33</v>
      </c>
      <c r="BY25" t="s">
        <v>33</v>
      </c>
      <c r="BZ25" t="s">
        <v>33</v>
      </c>
      <c r="CA25" t="s">
        <v>33</v>
      </c>
      <c r="CB25" t="s">
        <v>33</v>
      </c>
      <c r="CC25" t="s">
        <v>33</v>
      </c>
      <c r="CD25" t="s">
        <v>33</v>
      </c>
      <c r="CE25" t="s">
        <v>33</v>
      </c>
      <c r="CF25" t="s">
        <v>33</v>
      </c>
      <c r="CG25" t="s">
        <v>33</v>
      </c>
      <c r="CI25">
        <f t="shared" si="2"/>
        <v>0.70989953690757912</v>
      </c>
      <c r="CJ25">
        <f t="shared" si="0"/>
        <v>0</v>
      </c>
      <c r="CK25">
        <f t="shared" si="1"/>
        <v>0</v>
      </c>
    </row>
    <row r="26" spans="1:89" x14ac:dyDescent="0.25">
      <c r="A26" t="s">
        <v>126</v>
      </c>
      <c r="B26">
        <v>1</v>
      </c>
      <c r="C26" s="2">
        <v>10</v>
      </c>
      <c r="D26" s="2">
        <v>2</v>
      </c>
      <c r="E26" s="2">
        <v>2</v>
      </c>
      <c r="F26" s="2">
        <v>2</v>
      </c>
      <c r="G26" s="2">
        <v>3</v>
      </c>
      <c r="H26" t="s">
        <v>33</v>
      </c>
      <c r="I26" t="s">
        <v>33</v>
      </c>
      <c r="J26" t="s">
        <v>33</v>
      </c>
      <c r="K26" t="s">
        <v>33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33</v>
      </c>
      <c r="AA26">
        <v>1</v>
      </c>
      <c r="AB26" t="s">
        <v>33</v>
      </c>
      <c r="AC26" t="s">
        <v>33</v>
      </c>
      <c r="AD26" t="s">
        <v>33</v>
      </c>
      <c r="AE26" t="s">
        <v>33</v>
      </c>
      <c r="AF26" t="s">
        <v>33</v>
      </c>
      <c r="AG26" t="s">
        <v>33</v>
      </c>
      <c r="AH26" t="s">
        <v>33</v>
      </c>
      <c r="AI26" t="s">
        <v>33</v>
      </c>
      <c r="AJ26" t="s">
        <v>33</v>
      </c>
      <c r="AK26" t="s">
        <v>33</v>
      </c>
      <c r="AL26" t="s">
        <v>33</v>
      </c>
      <c r="AM26" t="s">
        <v>33</v>
      </c>
      <c r="AN26" t="s">
        <v>33</v>
      </c>
      <c r="AO26" t="s">
        <v>33</v>
      </c>
      <c r="AP26">
        <v>0.72795076343986598</v>
      </c>
      <c r="AQ26" t="s">
        <v>33</v>
      </c>
      <c r="AR26">
        <v>0.36666666666666597</v>
      </c>
      <c r="AS26" t="s">
        <v>33</v>
      </c>
      <c r="AT26" t="s">
        <v>33</v>
      </c>
      <c r="AU26" t="s">
        <v>33</v>
      </c>
      <c r="AV26">
        <v>0</v>
      </c>
      <c r="AW26" t="s">
        <v>33</v>
      </c>
      <c r="AX26" t="s">
        <v>33</v>
      </c>
      <c r="AY26" t="s">
        <v>33</v>
      </c>
      <c r="AZ26" t="s">
        <v>33</v>
      </c>
      <c r="BA26" t="s">
        <v>33</v>
      </c>
      <c r="BB26" t="s">
        <v>33</v>
      </c>
      <c r="BC26" t="s">
        <v>33</v>
      </c>
      <c r="BD26" t="s">
        <v>33</v>
      </c>
      <c r="BE26" t="s">
        <v>33</v>
      </c>
      <c r="BF26">
        <v>0.712240137574359</v>
      </c>
      <c r="BG26" t="s">
        <v>33</v>
      </c>
      <c r="BH26" t="s">
        <v>33</v>
      </c>
      <c r="BI26" t="s">
        <v>33</v>
      </c>
      <c r="BJ26" t="s">
        <v>33</v>
      </c>
      <c r="BK26" t="s">
        <v>33</v>
      </c>
      <c r="BL26" t="s">
        <v>33</v>
      </c>
      <c r="BM26" t="s">
        <v>33</v>
      </c>
      <c r="BN26" t="s">
        <v>33</v>
      </c>
      <c r="BO26" t="s">
        <v>33</v>
      </c>
      <c r="BP26" t="s">
        <v>33</v>
      </c>
      <c r="BQ26" t="s">
        <v>33</v>
      </c>
      <c r="BR26" t="s">
        <v>33</v>
      </c>
      <c r="BS26">
        <v>0.21109548169995901</v>
      </c>
      <c r="BT26" t="s">
        <v>33</v>
      </c>
      <c r="BU26" t="s">
        <v>33</v>
      </c>
      <c r="BV26">
        <v>0.75451782734370698</v>
      </c>
      <c r="BW26">
        <v>0.55988229166666603</v>
      </c>
      <c r="BX26" t="s">
        <v>33</v>
      </c>
      <c r="BY26" t="s">
        <v>33</v>
      </c>
      <c r="BZ26" t="s">
        <v>33</v>
      </c>
      <c r="CA26" t="s">
        <v>33</v>
      </c>
      <c r="CB26" t="s">
        <v>33</v>
      </c>
      <c r="CC26" t="s">
        <v>33</v>
      </c>
      <c r="CD26" t="s">
        <v>33</v>
      </c>
      <c r="CE26" t="s">
        <v>33</v>
      </c>
      <c r="CF26" t="s">
        <v>33</v>
      </c>
      <c r="CG26" t="s">
        <v>33</v>
      </c>
      <c r="CI26">
        <f t="shared" si="2"/>
        <v>0.68333333333333302</v>
      </c>
      <c r="CJ26">
        <f t="shared" si="0"/>
        <v>0.41282159567854604</v>
      </c>
      <c r="CK26">
        <f t="shared" si="1"/>
        <v>0.65720005950518656</v>
      </c>
    </row>
    <row r="27" spans="1:89" x14ac:dyDescent="0.25">
      <c r="A27" t="s">
        <v>103</v>
      </c>
      <c r="B27">
        <v>3</v>
      </c>
      <c r="H27" t="s">
        <v>33</v>
      </c>
      <c r="I27" t="s">
        <v>33</v>
      </c>
      <c r="J27" t="s">
        <v>33</v>
      </c>
      <c r="K27" t="s">
        <v>33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33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33</v>
      </c>
      <c r="Z27" t="s">
        <v>33</v>
      </c>
      <c r="AA27" t="s">
        <v>33</v>
      </c>
      <c r="AB27" t="s">
        <v>33</v>
      </c>
      <c r="AC27" t="s">
        <v>33</v>
      </c>
      <c r="AD27" t="s">
        <v>33</v>
      </c>
      <c r="AE27" t="s">
        <v>33</v>
      </c>
      <c r="AF27" t="s">
        <v>33</v>
      </c>
      <c r="AG27" t="s">
        <v>33</v>
      </c>
      <c r="AH27" t="s">
        <v>33</v>
      </c>
      <c r="AI27" t="s">
        <v>33</v>
      </c>
      <c r="AJ27" t="s">
        <v>33</v>
      </c>
      <c r="AK27" t="s">
        <v>33</v>
      </c>
      <c r="AL27" t="s">
        <v>33</v>
      </c>
      <c r="AM27" t="s">
        <v>33</v>
      </c>
      <c r="AN27" t="s">
        <v>33</v>
      </c>
      <c r="AO27" t="s">
        <v>33</v>
      </c>
      <c r="AP27" t="s">
        <v>33</v>
      </c>
      <c r="AQ27" t="s">
        <v>33</v>
      </c>
      <c r="AR27" t="s">
        <v>33</v>
      </c>
      <c r="AS27" t="s">
        <v>33</v>
      </c>
      <c r="AT27" t="s">
        <v>33</v>
      </c>
      <c r="AU27" t="s">
        <v>33</v>
      </c>
      <c r="AV27" t="s">
        <v>33</v>
      </c>
      <c r="AW27" t="s">
        <v>33</v>
      </c>
      <c r="AX27" t="s">
        <v>33</v>
      </c>
      <c r="AY27" t="s">
        <v>33</v>
      </c>
      <c r="AZ27">
        <v>0.96932515337423297</v>
      </c>
      <c r="BA27" t="s">
        <v>33</v>
      </c>
      <c r="BB27">
        <v>0.86428571428571399</v>
      </c>
      <c r="BC27" t="s">
        <v>33</v>
      </c>
      <c r="BD27" t="s">
        <v>33</v>
      </c>
      <c r="BE27" t="s">
        <v>33</v>
      </c>
      <c r="BF27" t="s">
        <v>33</v>
      </c>
      <c r="BG27" t="s">
        <v>33</v>
      </c>
      <c r="BH27">
        <v>0.75572519083969403</v>
      </c>
      <c r="BI27" t="s">
        <v>33</v>
      </c>
      <c r="BJ27" t="s">
        <v>33</v>
      </c>
      <c r="BK27" t="s">
        <v>33</v>
      </c>
      <c r="BL27" t="s">
        <v>33</v>
      </c>
      <c r="BM27" t="s">
        <v>33</v>
      </c>
      <c r="BN27" t="s">
        <v>33</v>
      </c>
      <c r="BO27" t="s">
        <v>33</v>
      </c>
      <c r="BP27" t="s">
        <v>33</v>
      </c>
      <c r="BQ27">
        <v>0.97142857142857097</v>
      </c>
      <c r="BR27" t="s">
        <v>33</v>
      </c>
      <c r="BS27" t="s">
        <v>33</v>
      </c>
      <c r="BT27">
        <v>0.835748792270531</v>
      </c>
      <c r="BU27" t="s">
        <v>33</v>
      </c>
      <c r="BV27" t="s">
        <v>33</v>
      </c>
      <c r="BW27">
        <v>0.96922446128008799</v>
      </c>
      <c r="BX27" t="s">
        <v>33</v>
      </c>
      <c r="BY27" t="s">
        <v>33</v>
      </c>
      <c r="BZ27" t="s">
        <v>33</v>
      </c>
      <c r="CA27" t="s">
        <v>33</v>
      </c>
      <c r="CB27" t="s">
        <v>33</v>
      </c>
      <c r="CC27">
        <v>1</v>
      </c>
      <c r="CD27">
        <v>0.67518248175182405</v>
      </c>
      <c r="CE27" t="s">
        <v>33</v>
      </c>
      <c r="CF27" t="s">
        <v>33</v>
      </c>
      <c r="CG27" t="s">
        <v>33</v>
      </c>
      <c r="CI27">
        <f t="shared" si="2"/>
        <v>0.86738512913579524</v>
      </c>
      <c r="CJ27">
        <f t="shared" si="0"/>
        <v>0</v>
      </c>
      <c r="CK27">
        <f t="shared" si="1"/>
        <v>0.96922446128008799</v>
      </c>
    </row>
    <row r="28" spans="1:89" x14ac:dyDescent="0.25">
      <c r="A28" t="s">
        <v>42</v>
      </c>
      <c r="B28" t="s">
        <v>131</v>
      </c>
      <c r="H28" t="s">
        <v>33</v>
      </c>
      <c r="I28" t="s">
        <v>33</v>
      </c>
      <c r="J28" t="s">
        <v>33</v>
      </c>
      <c r="K28" t="s">
        <v>33</v>
      </c>
      <c r="L28">
        <v>0.574713441590333</v>
      </c>
      <c r="M28">
        <v>0.952380952380952</v>
      </c>
      <c r="N28" t="s">
        <v>33</v>
      </c>
      <c r="O28" t="s">
        <v>33</v>
      </c>
      <c r="P28" t="s">
        <v>33</v>
      </c>
      <c r="Q28">
        <v>1</v>
      </c>
      <c r="R28">
        <v>0.94608338265259795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33</v>
      </c>
      <c r="Y28" t="s">
        <v>33</v>
      </c>
      <c r="Z28" t="s">
        <v>33</v>
      </c>
      <c r="AA28" t="s">
        <v>33</v>
      </c>
      <c r="AB28" t="s">
        <v>33</v>
      </c>
      <c r="AC28" t="s">
        <v>33</v>
      </c>
      <c r="AD28" t="s">
        <v>33</v>
      </c>
      <c r="AE28" t="s">
        <v>33</v>
      </c>
      <c r="AF28" t="s">
        <v>33</v>
      </c>
      <c r="AG28" t="s">
        <v>33</v>
      </c>
      <c r="AH28" t="s">
        <v>33</v>
      </c>
      <c r="AI28" t="s">
        <v>33</v>
      </c>
      <c r="AJ28" t="s">
        <v>33</v>
      </c>
      <c r="AK28" t="s">
        <v>33</v>
      </c>
      <c r="AL28" t="s">
        <v>33</v>
      </c>
      <c r="AM28" t="s">
        <v>33</v>
      </c>
      <c r="AN28" t="s">
        <v>33</v>
      </c>
      <c r="AO28" t="s">
        <v>33</v>
      </c>
      <c r="AP28" t="s">
        <v>33</v>
      </c>
      <c r="AQ28" t="s">
        <v>33</v>
      </c>
      <c r="AR28" t="s">
        <v>33</v>
      </c>
      <c r="AS28" t="s">
        <v>33</v>
      </c>
      <c r="AT28" t="s">
        <v>33</v>
      </c>
      <c r="AU28" t="s">
        <v>33</v>
      </c>
      <c r="AV28" t="s">
        <v>33</v>
      </c>
      <c r="AW28" t="s">
        <v>33</v>
      </c>
      <c r="AX28" t="s">
        <v>33</v>
      </c>
      <c r="AY28" t="s">
        <v>33</v>
      </c>
      <c r="AZ28" t="s">
        <v>33</v>
      </c>
      <c r="BA28" t="s">
        <v>33</v>
      </c>
      <c r="BB28" t="s">
        <v>33</v>
      </c>
      <c r="BC28" t="s">
        <v>33</v>
      </c>
      <c r="BD28" t="s">
        <v>33</v>
      </c>
      <c r="BE28" t="s">
        <v>33</v>
      </c>
      <c r="BF28" t="s">
        <v>33</v>
      </c>
      <c r="BG28" t="s">
        <v>33</v>
      </c>
      <c r="BH28" t="s">
        <v>33</v>
      </c>
      <c r="BI28" t="s">
        <v>33</v>
      </c>
      <c r="BJ28" t="s">
        <v>33</v>
      </c>
      <c r="BK28" t="s">
        <v>33</v>
      </c>
      <c r="BL28" t="s">
        <v>33</v>
      </c>
      <c r="BM28" t="s">
        <v>33</v>
      </c>
      <c r="BN28" t="s">
        <v>33</v>
      </c>
      <c r="BO28" t="s">
        <v>33</v>
      </c>
      <c r="BP28" t="s">
        <v>33</v>
      </c>
      <c r="BQ28" t="s">
        <v>33</v>
      </c>
      <c r="BR28" t="s">
        <v>33</v>
      </c>
      <c r="BS28" t="s">
        <v>33</v>
      </c>
      <c r="BT28" t="s">
        <v>33</v>
      </c>
      <c r="BU28" t="s">
        <v>33</v>
      </c>
      <c r="BV28" t="s">
        <v>33</v>
      </c>
      <c r="BW28" t="s">
        <v>33</v>
      </c>
      <c r="BX28" t="s">
        <v>33</v>
      </c>
      <c r="BY28" t="s">
        <v>33</v>
      </c>
      <c r="BZ28" t="s">
        <v>33</v>
      </c>
      <c r="CA28" t="s">
        <v>33</v>
      </c>
      <c r="CB28" t="s">
        <v>33</v>
      </c>
      <c r="CC28" t="s">
        <v>33</v>
      </c>
      <c r="CD28" t="s">
        <v>33</v>
      </c>
      <c r="CE28" t="s">
        <v>33</v>
      </c>
      <c r="CF28" t="s">
        <v>33</v>
      </c>
      <c r="CG28" t="s">
        <v>33</v>
      </c>
      <c r="CI28">
        <f t="shared" si="2"/>
        <v>0.86829444415597079</v>
      </c>
      <c r="CJ28">
        <f t="shared" si="0"/>
        <v>0</v>
      </c>
      <c r="CK28">
        <f t="shared" si="1"/>
        <v>0</v>
      </c>
    </row>
    <row r="29" spans="1:89" x14ac:dyDescent="0.25">
      <c r="A29" t="s">
        <v>64</v>
      </c>
      <c r="B29" t="s">
        <v>72</v>
      </c>
      <c r="C29" s="2">
        <v>10</v>
      </c>
      <c r="D29" s="2">
        <v>3</v>
      </c>
      <c r="E29" s="2">
        <v>3</v>
      </c>
      <c r="F29" s="2">
        <v>3</v>
      </c>
      <c r="G29" s="2">
        <v>3</v>
      </c>
      <c r="H29" t="s">
        <v>33</v>
      </c>
      <c r="I29" t="s">
        <v>33</v>
      </c>
      <c r="J29">
        <v>0.90909090909090895</v>
      </c>
      <c r="K29" t="s">
        <v>33</v>
      </c>
      <c r="L29">
        <v>0.77328441782761803</v>
      </c>
      <c r="M29">
        <v>0.81081081081080997</v>
      </c>
      <c r="N29" t="s">
        <v>33</v>
      </c>
      <c r="O29">
        <v>0.51515151515151503</v>
      </c>
      <c r="P29" t="s">
        <v>33</v>
      </c>
      <c r="Q29" t="s">
        <v>33</v>
      </c>
      <c r="R29" t="s">
        <v>33</v>
      </c>
      <c r="S29" t="s">
        <v>33</v>
      </c>
      <c r="T29">
        <v>0.89473684210526305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33</v>
      </c>
      <c r="AA29" t="s">
        <v>33</v>
      </c>
      <c r="AB29" t="s">
        <v>33</v>
      </c>
      <c r="AC29">
        <v>0.83647811191307597</v>
      </c>
      <c r="AD29" t="s">
        <v>33</v>
      </c>
      <c r="AE29" t="s">
        <v>33</v>
      </c>
      <c r="AF29" t="s">
        <v>33</v>
      </c>
      <c r="AG29" t="s">
        <v>33</v>
      </c>
      <c r="AH29">
        <v>0.94841269841269804</v>
      </c>
      <c r="AI29">
        <v>0.94801223241590205</v>
      </c>
      <c r="AJ29" t="s">
        <v>33</v>
      </c>
      <c r="AK29">
        <v>0.418857569086868</v>
      </c>
      <c r="AL29">
        <v>1</v>
      </c>
      <c r="AM29" t="s">
        <v>33</v>
      </c>
      <c r="AN29" t="s">
        <v>33</v>
      </c>
      <c r="AO29" t="s">
        <v>33</v>
      </c>
      <c r="AP29" t="s">
        <v>33</v>
      </c>
      <c r="AQ29" t="s">
        <v>33</v>
      </c>
      <c r="AR29" t="s">
        <v>33</v>
      </c>
      <c r="AS29" t="s">
        <v>33</v>
      </c>
      <c r="AT29" t="s">
        <v>33</v>
      </c>
      <c r="AU29" t="s">
        <v>33</v>
      </c>
      <c r="AV29" t="s">
        <v>33</v>
      </c>
      <c r="AW29" t="s">
        <v>33</v>
      </c>
      <c r="AX29">
        <v>1</v>
      </c>
      <c r="AY29" t="s">
        <v>33</v>
      </c>
      <c r="AZ29" t="s">
        <v>33</v>
      </c>
      <c r="BA29" t="s">
        <v>33</v>
      </c>
      <c r="BB29" t="s">
        <v>33</v>
      </c>
      <c r="BC29" t="s">
        <v>33</v>
      </c>
      <c r="BD29">
        <v>0.88111888111888104</v>
      </c>
      <c r="BE29">
        <v>1</v>
      </c>
      <c r="BF29">
        <v>1</v>
      </c>
      <c r="BG29" t="s">
        <v>33</v>
      </c>
      <c r="BH29" t="s">
        <v>33</v>
      </c>
      <c r="BI29" t="s">
        <v>33</v>
      </c>
      <c r="BJ29">
        <v>1</v>
      </c>
      <c r="BK29" t="s">
        <v>33</v>
      </c>
      <c r="BL29" t="s">
        <v>33</v>
      </c>
      <c r="BM29">
        <v>1</v>
      </c>
      <c r="BN29">
        <v>0.86565144996837595</v>
      </c>
      <c r="BO29" t="s">
        <v>33</v>
      </c>
      <c r="BP29">
        <v>0.96</v>
      </c>
      <c r="BQ29" t="s">
        <v>33</v>
      </c>
      <c r="BR29" t="s">
        <v>33</v>
      </c>
      <c r="BS29">
        <v>0.15138236559538501</v>
      </c>
      <c r="BT29" t="s">
        <v>33</v>
      </c>
      <c r="BU29" t="s">
        <v>33</v>
      </c>
      <c r="BV29" t="s">
        <v>33</v>
      </c>
      <c r="BW29">
        <v>0.96338310474404598</v>
      </c>
      <c r="BX29" t="s">
        <v>33</v>
      </c>
      <c r="BY29">
        <v>0.80645161290322498</v>
      </c>
      <c r="BZ29">
        <v>0.41666666666666602</v>
      </c>
      <c r="CA29" t="s">
        <v>33</v>
      </c>
      <c r="CB29" t="s">
        <v>33</v>
      </c>
      <c r="CC29" t="s">
        <v>33</v>
      </c>
      <c r="CD29" t="s">
        <v>33</v>
      </c>
      <c r="CE29" t="s">
        <v>33</v>
      </c>
      <c r="CF29">
        <v>0.94057663299606697</v>
      </c>
      <c r="CG29" t="s">
        <v>33</v>
      </c>
      <c r="CI29">
        <f t="shared" si="2"/>
        <v>0.80793815116689549</v>
      </c>
      <c r="CJ29">
        <f t="shared" si="0"/>
        <v>0.83027647311907704</v>
      </c>
      <c r="CK29">
        <f t="shared" si="1"/>
        <v>0.92320372923616301</v>
      </c>
    </row>
    <row r="30" spans="1:89" x14ac:dyDescent="0.25">
      <c r="A30" t="s">
        <v>43</v>
      </c>
      <c r="B30" t="s">
        <v>131</v>
      </c>
      <c r="H30" t="s">
        <v>33</v>
      </c>
      <c r="I30" t="s">
        <v>33</v>
      </c>
      <c r="J30" t="s">
        <v>33</v>
      </c>
      <c r="K30" t="s">
        <v>33</v>
      </c>
      <c r="L30">
        <v>0.51012121603104099</v>
      </c>
      <c r="M30">
        <v>0.86956521739130399</v>
      </c>
      <c r="N30" t="s">
        <v>33</v>
      </c>
      <c r="O30" t="s">
        <v>33</v>
      </c>
      <c r="P30" t="s">
        <v>33</v>
      </c>
      <c r="Q30" t="s">
        <v>33</v>
      </c>
      <c r="R30">
        <v>0.72678063308250196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  <c r="AC30" t="s">
        <v>33</v>
      </c>
      <c r="AD30" t="s">
        <v>33</v>
      </c>
      <c r="AE30" t="s">
        <v>33</v>
      </c>
      <c r="AF30" t="s">
        <v>33</v>
      </c>
      <c r="AG30" t="s">
        <v>33</v>
      </c>
      <c r="AH30" t="s">
        <v>33</v>
      </c>
      <c r="AI30" t="s">
        <v>33</v>
      </c>
      <c r="AJ30" t="s">
        <v>33</v>
      </c>
      <c r="AK30" t="s">
        <v>33</v>
      </c>
      <c r="AL30" t="s">
        <v>33</v>
      </c>
      <c r="AM30" t="s">
        <v>33</v>
      </c>
      <c r="AN30" t="s">
        <v>33</v>
      </c>
      <c r="AO30" t="s">
        <v>33</v>
      </c>
      <c r="AP30" t="s">
        <v>33</v>
      </c>
      <c r="AQ30" t="s">
        <v>33</v>
      </c>
      <c r="AR30" t="s">
        <v>33</v>
      </c>
      <c r="AS30" t="s">
        <v>33</v>
      </c>
      <c r="AT30" t="s">
        <v>33</v>
      </c>
      <c r="AU30" t="s">
        <v>33</v>
      </c>
      <c r="AV30" t="s">
        <v>33</v>
      </c>
      <c r="AW30" t="s">
        <v>33</v>
      </c>
      <c r="AX30" t="s">
        <v>33</v>
      </c>
      <c r="AY30" t="s">
        <v>33</v>
      </c>
      <c r="AZ30" t="s">
        <v>33</v>
      </c>
      <c r="BA30" t="s">
        <v>33</v>
      </c>
      <c r="BB30" t="s">
        <v>33</v>
      </c>
      <c r="BC30" t="s">
        <v>33</v>
      </c>
      <c r="BD30" t="s">
        <v>33</v>
      </c>
      <c r="BE30" t="s">
        <v>33</v>
      </c>
      <c r="BF30" t="s">
        <v>33</v>
      </c>
      <c r="BG30" t="s">
        <v>33</v>
      </c>
      <c r="BH30" t="s">
        <v>33</v>
      </c>
      <c r="BI30" t="s">
        <v>33</v>
      </c>
      <c r="BJ30" t="s">
        <v>33</v>
      </c>
      <c r="BK30" t="s">
        <v>33</v>
      </c>
      <c r="BL30" t="s">
        <v>33</v>
      </c>
      <c r="BM30" t="s">
        <v>33</v>
      </c>
      <c r="BN30" t="s">
        <v>33</v>
      </c>
      <c r="BO30" t="s">
        <v>33</v>
      </c>
      <c r="BP30" t="s">
        <v>33</v>
      </c>
      <c r="BQ30" t="s">
        <v>33</v>
      </c>
      <c r="BR30" t="s">
        <v>33</v>
      </c>
      <c r="BS30" t="s">
        <v>33</v>
      </c>
      <c r="BT30" t="s">
        <v>33</v>
      </c>
      <c r="BU30" t="s">
        <v>33</v>
      </c>
      <c r="BV30" t="s">
        <v>33</v>
      </c>
      <c r="BW30" t="s">
        <v>33</v>
      </c>
      <c r="BX30" t="s">
        <v>33</v>
      </c>
      <c r="BY30" t="s">
        <v>33</v>
      </c>
      <c r="BZ30" t="s">
        <v>33</v>
      </c>
      <c r="CA30" t="s">
        <v>33</v>
      </c>
      <c r="CB30" t="s">
        <v>33</v>
      </c>
      <c r="CC30" t="s">
        <v>33</v>
      </c>
      <c r="CD30" t="s">
        <v>33</v>
      </c>
      <c r="CE30" t="s">
        <v>33</v>
      </c>
      <c r="CF30" t="s">
        <v>33</v>
      </c>
      <c r="CG30" t="s">
        <v>33</v>
      </c>
      <c r="CI30">
        <f t="shared" si="2"/>
        <v>0.70215568883494894</v>
      </c>
      <c r="CJ30">
        <f t="shared" si="0"/>
        <v>0</v>
      </c>
      <c r="CK30">
        <f t="shared" si="1"/>
        <v>0</v>
      </c>
    </row>
    <row r="31" spans="1:89" x14ac:dyDescent="0.25">
      <c r="A31" t="s">
        <v>104</v>
      </c>
      <c r="B31">
        <v>3</v>
      </c>
      <c r="H31" t="s">
        <v>33</v>
      </c>
      <c r="I31" t="s">
        <v>33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33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33</v>
      </c>
      <c r="Z31" t="s">
        <v>33</v>
      </c>
      <c r="AA31" t="s">
        <v>33</v>
      </c>
      <c r="AB31" t="s">
        <v>33</v>
      </c>
      <c r="AC31" t="s">
        <v>33</v>
      </c>
      <c r="AD31" t="s">
        <v>33</v>
      </c>
      <c r="AE31" t="s">
        <v>33</v>
      </c>
      <c r="AF31" t="s">
        <v>33</v>
      </c>
      <c r="AG31" t="s">
        <v>33</v>
      </c>
      <c r="AH31" t="s">
        <v>33</v>
      </c>
      <c r="AI31" t="s">
        <v>33</v>
      </c>
      <c r="AJ31" t="s">
        <v>33</v>
      </c>
      <c r="AK31" t="s">
        <v>33</v>
      </c>
      <c r="AL31" t="s">
        <v>33</v>
      </c>
      <c r="AM31" t="s">
        <v>33</v>
      </c>
      <c r="AN31" t="s">
        <v>33</v>
      </c>
      <c r="AO31" t="s">
        <v>33</v>
      </c>
      <c r="AP31" t="s">
        <v>33</v>
      </c>
      <c r="AQ31" t="s">
        <v>33</v>
      </c>
      <c r="AR31" t="s">
        <v>33</v>
      </c>
      <c r="AS31" t="s">
        <v>33</v>
      </c>
      <c r="AT31" t="s">
        <v>33</v>
      </c>
      <c r="AU31" t="s">
        <v>33</v>
      </c>
      <c r="AV31" t="s">
        <v>33</v>
      </c>
      <c r="AW31" t="s">
        <v>33</v>
      </c>
      <c r="AX31" t="s">
        <v>33</v>
      </c>
      <c r="AY31" t="s">
        <v>33</v>
      </c>
      <c r="AZ31">
        <v>0.82417582417582402</v>
      </c>
      <c r="BA31" t="s">
        <v>33</v>
      </c>
      <c r="BB31">
        <v>0.83333333333333304</v>
      </c>
      <c r="BC31" t="s">
        <v>33</v>
      </c>
      <c r="BD31" t="s">
        <v>33</v>
      </c>
      <c r="BE31" t="s">
        <v>33</v>
      </c>
      <c r="BF31" t="s">
        <v>33</v>
      </c>
      <c r="BG31" t="s">
        <v>33</v>
      </c>
      <c r="BH31">
        <v>0.64102564102564097</v>
      </c>
      <c r="BI31" t="s">
        <v>33</v>
      </c>
      <c r="BJ31" t="s">
        <v>33</v>
      </c>
      <c r="BK31" t="s">
        <v>33</v>
      </c>
      <c r="BL31" t="s">
        <v>33</v>
      </c>
      <c r="BM31" t="s">
        <v>33</v>
      </c>
      <c r="BN31">
        <v>0.97408120238695395</v>
      </c>
      <c r="BO31" t="s">
        <v>33</v>
      </c>
      <c r="BP31" t="s">
        <v>33</v>
      </c>
      <c r="BQ31">
        <v>0.84938818800305504</v>
      </c>
      <c r="BR31">
        <v>0.98547002996855404</v>
      </c>
      <c r="BS31" t="s">
        <v>33</v>
      </c>
      <c r="BT31">
        <v>0.898876404494382</v>
      </c>
      <c r="BU31" t="s">
        <v>33</v>
      </c>
      <c r="BV31" t="s">
        <v>33</v>
      </c>
      <c r="BW31">
        <v>0.85454145452145303</v>
      </c>
      <c r="BX31" t="s">
        <v>33</v>
      </c>
      <c r="BY31" t="s">
        <v>33</v>
      </c>
      <c r="BZ31" t="s">
        <v>33</v>
      </c>
      <c r="CA31" t="s">
        <v>33</v>
      </c>
      <c r="CB31">
        <v>0.36923076923076897</v>
      </c>
      <c r="CC31" t="s">
        <v>33</v>
      </c>
      <c r="CD31">
        <v>0.48780487804877998</v>
      </c>
      <c r="CE31" t="s">
        <v>33</v>
      </c>
      <c r="CF31" t="s">
        <v>33</v>
      </c>
      <c r="CG31" t="s">
        <v>33</v>
      </c>
      <c r="CI31">
        <f t="shared" si="2"/>
        <v>0.73616313353504226</v>
      </c>
      <c r="CJ31">
        <f t="shared" si="0"/>
        <v>0</v>
      </c>
      <c r="CK31">
        <f t="shared" si="1"/>
        <v>0.91431132845420349</v>
      </c>
    </row>
    <row r="32" spans="1:89" x14ac:dyDescent="0.25">
      <c r="A32" t="s">
        <v>78</v>
      </c>
      <c r="B32" t="s">
        <v>131</v>
      </c>
      <c r="H32" t="s">
        <v>33</v>
      </c>
      <c r="I32" t="s">
        <v>33</v>
      </c>
      <c r="J32" t="s">
        <v>33</v>
      </c>
      <c r="K32" t="s">
        <v>33</v>
      </c>
      <c r="L32">
        <v>0.98454422744259096</v>
      </c>
      <c r="M32">
        <v>0.90909090909090895</v>
      </c>
      <c r="N32" t="s">
        <v>33</v>
      </c>
      <c r="O32">
        <v>0.37168141592920301</v>
      </c>
      <c r="P32" t="s">
        <v>33</v>
      </c>
      <c r="Q32">
        <v>0.6</v>
      </c>
      <c r="R32">
        <v>0.83035520450950395</v>
      </c>
      <c r="S32" t="s">
        <v>33</v>
      </c>
      <c r="T32">
        <v>0.17431192660550399</v>
      </c>
      <c r="U32" t="s">
        <v>33</v>
      </c>
      <c r="V32" t="s">
        <v>33</v>
      </c>
      <c r="W32" t="s">
        <v>33</v>
      </c>
      <c r="X32" t="s">
        <v>33</v>
      </c>
      <c r="Y32" t="s">
        <v>33</v>
      </c>
      <c r="Z32" t="s">
        <v>33</v>
      </c>
      <c r="AA32" t="s">
        <v>33</v>
      </c>
      <c r="AB32" t="s">
        <v>33</v>
      </c>
      <c r="AC32" t="s">
        <v>33</v>
      </c>
      <c r="AD32" t="s">
        <v>33</v>
      </c>
      <c r="AE32" t="s">
        <v>33</v>
      </c>
      <c r="AF32" t="s">
        <v>33</v>
      </c>
      <c r="AG32" t="s">
        <v>33</v>
      </c>
      <c r="AH32" t="s">
        <v>33</v>
      </c>
      <c r="AI32" t="s">
        <v>33</v>
      </c>
      <c r="AJ32" t="s">
        <v>33</v>
      </c>
      <c r="AK32" t="s">
        <v>33</v>
      </c>
      <c r="AL32" t="s">
        <v>33</v>
      </c>
      <c r="AM32" t="s">
        <v>33</v>
      </c>
      <c r="AN32" t="s">
        <v>33</v>
      </c>
      <c r="AO32" t="s">
        <v>33</v>
      </c>
      <c r="AP32" t="s">
        <v>33</v>
      </c>
      <c r="AQ32" t="s">
        <v>33</v>
      </c>
      <c r="AR32" t="s">
        <v>33</v>
      </c>
      <c r="AS32" t="s">
        <v>33</v>
      </c>
      <c r="AT32" t="s">
        <v>33</v>
      </c>
      <c r="AU32" t="s">
        <v>33</v>
      </c>
      <c r="AV32" t="s">
        <v>33</v>
      </c>
      <c r="AW32" t="s">
        <v>33</v>
      </c>
      <c r="AX32" t="s">
        <v>33</v>
      </c>
      <c r="AY32" t="s">
        <v>33</v>
      </c>
      <c r="AZ32" t="s">
        <v>33</v>
      </c>
      <c r="BA32" t="s">
        <v>33</v>
      </c>
      <c r="BB32" t="s">
        <v>33</v>
      </c>
      <c r="BC32" t="s">
        <v>33</v>
      </c>
      <c r="BD32" t="s">
        <v>33</v>
      </c>
      <c r="BE32" t="s">
        <v>33</v>
      </c>
      <c r="BF32" t="s">
        <v>33</v>
      </c>
      <c r="BG32" t="s">
        <v>33</v>
      </c>
      <c r="BH32" t="s">
        <v>33</v>
      </c>
      <c r="BI32" t="s">
        <v>33</v>
      </c>
      <c r="BJ32" t="s">
        <v>33</v>
      </c>
      <c r="BK32" t="s">
        <v>33</v>
      </c>
      <c r="BL32" t="s">
        <v>33</v>
      </c>
      <c r="BM32" t="s">
        <v>33</v>
      </c>
      <c r="BN32" t="s">
        <v>33</v>
      </c>
      <c r="BO32" t="s">
        <v>33</v>
      </c>
      <c r="BP32" t="s">
        <v>33</v>
      </c>
      <c r="BQ32" t="s">
        <v>33</v>
      </c>
      <c r="BR32" t="s">
        <v>33</v>
      </c>
      <c r="BS32" t="s">
        <v>33</v>
      </c>
      <c r="BT32" t="s">
        <v>33</v>
      </c>
      <c r="BU32" t="s">
        <v>33</v>
      </c>
      <c r="BV32" t="s">
        <v>33</v>
      </c>
      <c r="BW32" t="s">
        <v>33</v>
      </c>
      <c r="BX32" t="s">
        <v>33</v>
      </c>
      <c r="BY32" t="s">
        <v>33</v>
      </c>
      <c r="BZ32" t="s">
        <v>33</v>
      </c>
      <c r="CA32" t="s">
        <v>33</v>
      </c>
      <c r="CB32" t="s">
        <v>33</v>
      </c>
      <c r="CC32" t="s">
        <v>33</v>
      </c>
      <c r="CD32" t="s">
        <v>33</v>
      </c>
      <c r="CE32" t="s">
        <v>33</v>
      </c>
      <c r="CF32" t="s">
        <v>33</v>
      </c>
      <c r="CG32" t="s">
        <v>33</v>
      </c>
      <c r="CI32">
        <f t="shared" si="2"/>
        <v>0.64499728059628514</v>
      </c>
      <c r="CJ32">
        <f t="shared" si="0"/>
        <v>0</v>
      </c>
      <c r="CK32">
        <f t="shared" si="1"/>
        <v>0</v>
      </c>
    </row>
    <row r="33" spans="1:89" x14ac:dyDescent="0.25">
      <c r="A33" t="s">
        <v>74</v>
      </c>
      <c r="B33" t="s">
        <v>72</v>
      </c>
      <c r="C33" s="2">
        <v>7</v>
      </c>
      <c r="D33" s="2">
        <v>2</v>
      </c>
      <c r="E33" s="2">
        <v>2</v>
      </c>
      <c r="F33" s="2">
        <v>2</v>
      </c>
      <c r="G33" s="2">
        <v>1</v>
      </c>
      <c r="H33" t="s">
        <v>33</v>
      </c>
      <c r="I33" t="s">
        <v>33</v>
      </c>
      <c r="J33">
        <v>0.88235294117647001</v>
      </c>
      <c r="K33" t="s">
        <v>33</v>
      </c>
      <c r="L33">
        <v>0.585320497572555</v>
      </c>
      <c r="M33">
        <v>0.76923076923076905</v>
      </c>
      <c r="N33" t="s">
        <v>33</v>
      </c>
      <c r="O33">
        <v>0.49107142857142799</v>
      </c>
      <c r="P33" t="s">
        <v>33</v>
      </c>
      <c r="Q33" t="s">
        <v>33</v>
      </c>
      <c r="R33" t="s">
        <v>33</v>
      </c>
      <c r="S33" t="s">
        <v>33</v>
      </c>
      <c r="T33">
        <v>0.76179597583450298</v>
      </c>
      <c r="U33" t="s">
        <v>33</v>
      </c>
      <c r="V33">
        <v>1</v>
      </c>
      <c r="W33" t="s">
        <v>33</v>
      </c>
      <c r="X33" t="s">
        <v>33</v>
      </c>
      <c r="Y33" t="s">
        <v>33</v>
      </c>
      <c r="Z33" t="s">
        <v>33</v>
      </c>
      <c r="AA33" t="s">
        <v>33</v>
      </c>
      <c r="AB33" t="s">
        <v>33</v>
      </c>
      <c r="AC33">
        <v>0.48730856637363401</v>
      </c>
      <c r="AD33" t="s">
        <v>33</v>
      </c>
      <c r="AE33" t="s">
        <v>33</v>
      </c>
      <c r="AF33" t="s">
        <v>33</v>
      </c>
      <c r="AG33" t="s">
        <v>33</v>
      </c>
      <c r="AH33">
        <v>0.92965087858651696</v>
      </c>
      <c r="AI33">
        <v>0.91902834008097101</v>
      </c>
      <c r="AJ33" t="s">
        <v>33</v>
      </c>
      <c r="AK33">
        <v>0.59933711119887201</v>
      </c>
      <c r="AL33" t="s">
        <v>33</v>
      </c>
      <c r="AM33" t="s">
        <v>33</v>
      </c>
      <c r="AN33" t="s">
        <v>33</v>
      </c>
      <c r="AO33" t="s">
        <v>33</v>
      </c>
      <c r="AP33" t="s">
        <v>33</v>
      </c>
      <c r="AQ33" t="s">
        <v>33</v>
      </c>
      <c r="AR33" t="s">
        <v>33</v>
      </c>
      <c r="AS33" t="s">
        <v>33</v>
      </c>
      <c r="AT33" t="s">
        <v>33</v>
      </c>
      <c r="AU33" t="s">
        <v>33</v>
      </c>
      <c r="AV33" t="s">
        <v>33</v>
      </c>
      <c r="AW33">
        <v>0</v>
      </c>
      <c r="AX33">
        <v>0</v>
      </c>
      <c r="AY33" t="s">
        <v>33</v>
      </c>
      <c r="AZ33" t="s">
        <v>33</v>
      </c>
      <c r="BA33" t="s">
        <v>33</v>
      </c>
      <c r="BB33" t="s">
        <v>33</v>
      </c>
      <c r="BC33" t="s">
        <v>33</v>
      </c>
      <c r="BD33">
        <v>0.85263157894736796</v>
      </c>
      <c r="BE33">
        <v>1</v>
      </c>
      <c r="BF33">
        <v>0.93637433728961805</v>
      </c>
      <c r="BG33" t="s">
        <v>33</v>
      </c>
      <c r="BH33" t="s">
        <v>33</v>
      </c>
      <c r="BI33" t="s">
        <v>33</v>
      </c>
      <c r="BJ33">
        <v>0.476190476190476</v>
      </c>
      <c r="BK33" t="s">
        <v>33</v>
      </c>
      <c r="BL33" t="s">
        <v>33</v>
      </c>
      <c r="BM33">
        <v>0.9375</v>
      </c>
      <c r="BN33">
        <v>0.82677261950104597</v>
      </c>
      <c r="BO33" t="s">
        <v>33</v>
      </c>
      <c r="BP33">
        <v>0.84615384615384603</v>
      </c>
      <c r="BQ33" t="s">
        <v>33</v>
      </c>
      <c r="BR33" t="s">
        <v>33</v>
      </c>
      <c r="BS33" t="s">
        <v>33</v>
      </c>
      <c r="BT33" t="s">
        <v>33</v>
      </c>
      <c r="BU33" t="s">
        <v>33</v>
      </c>
      <c r="BV33" t="s">
        <v>33</v>
      </c>
      <c r="BW33">
        <v>0.83959216943158099</v>
      </c>
      <c r="BX33" t="s">
        <v>33</v>
      </c>
      <c r="BY33">
        <v>0.75757575757575701</v>
      </c>
      <c r="BZ33">
        <v>0.952380952380952</v>
      </c>
      <c r="CA33" t="s">
        <v>33</v>
      </c>
      <c r="CB33" t="s">
        <v>33</v>
      </c>
      <c r="CC33" t="s">
        <v>33</v>
      </c>
      <c r="CD33" t="s">
        <v>33</v>
      </c>
      <c r="CE33" t="s">
        <v>33</v>
      </c>
      <c r="CF33">
        <v>0.99783014392164804</v>
      </c>
      <c r="CG33" t="s">
        <v>33</v>
      </c>
      <c r="CI33">
        <f t="shared" si="2"/>
        <v>0.76547056999213225</v>
      </c>
      <c r="CJ33">
        <f t="shared" si="0"/>
        <v>0.48409358432240451</v>
      </c>
      <c r="CK33">
        <f t="shared" si="1"/>
        <v>0.88806497761809167</v>
      </c>
    </row>
    <row r="34" spans="1:89" x14ac:dyDescent="0.25">
      <c r="A34" t="s">
        <v>44</v>
      </c>
      <c r="B34" t="s">
        <v>131</v>
      </c>
      <c r="H34" t="s">
        <v>33</v>
      </c>
      <c r="I34" t="s">
        <v>33</v>
      </c>
      <c r="J34" t="s">
        <v>33</v>
      </c>
      <c r="K34" t="s">
        <v>33</v>
      </c>
      <c r="L34">
        <v>0.89110367615433195</v>
      </c>
      <c r="M34">
        <v>0.85106382978723405</v>
      </c>
      <c r="N34" t="s">
        <v>33</v>
      </c>
      <c r="O34">
        <v>0.38186813186813201</v>
      </c>
      <c r="P34" t="s">
        <v>33</v>
      </c>
      <c r="Q34" t="s">
        <v>33</v>
      </c>
      <c r="R34">
        <v>0.72097082350594399</v>
      </c>
      <c r="S34" t="s">
        <v>33</v>
      </c>
      <c r="T34">
        <v>0.16666666666666599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33</v>
      </c>
      <c r="AA34" t="s">
        <v>33</v>
      </c>
      <c r="AB34" t="s">
        <v>33</v>
      </c>
      <c r="AC34" t="s">
        <v>33</v>
      </c>
      <c r="AD34" t="s">
        <v>33</v>
      </c>
      <c r="AE34" t="s">
        <v>33</v>
      </c>
      <c r="AF34" t="s">
        <v>33</v>
      </c>
      <c r="AG34" t="s">
        <v>33</v>
      </c>
      <c r="AH34" t="s">
        <v>33</v>
      </c>
      <c r="AI34" t="s">
        <v>33</v>
      </c>
      <c r="AJ34" t="s">
        <v>33</v>
      </c>
      <c r="AK34" t="s">
        <v>33</v>
      </c>
      <c r="AL34" t="s">
        <v>33</v>
      </c>
      <c r="AM34" t="s">
        <v>33</v>
      </c>
      <c r="AN34" t="s">
        <v>33</v>
      </c>
      <c r="AO34" t="s">
        <v>33</v>
      </c>
      <c r="AP34" t="s">
        <v>33</v>
      </c>
      <c r="AQ34" t="s">
        <v>33</v>
      </c>
      <c r="AR34" t="s">
        <v>33</v>
      </c>
      <c r="AS34" t="s">
        <v>33</v>
      </c>
      <c r="AT34" t="s">
        <v>33</v>
      </c>
      <c r="AU34" t="s">
        <v>33</v>
      </c>
      <c r="AV34" t="s">
        <v>33</v>
      </c>
      <c r="AW34" t="s">
        <v>33</v>
      </c>
      <c r="AX34" t="s">
        <v>33</v>
      </c>
      <c r="AY34" t="s">
        <v>33</v>
      </c>
      <c r="AZ34" t="s">
        <v>33</v>
      </c>
      <c r="BA34" t="s">
        <v>33</v>
      </c>
      <c r="BB34" t="s">
        <v>33</v>
      </c>
      <c r="BC34" t="s">
        <v>33</v>
      </c>
      <c r="BD34" t="s">
        <v>33</v>
      </c>
      <c r="BE34" t="s">
        <v>33</v>
      </c>
      <c r="BF34" t="s">
        <v>33</v>
      </c>
      <c r="BG34" t="s">
        <v>33</v>
      </c>
      <c r="BH34" t="s">
        <v>33</v>
      </c>
      <c r="BI34" t="s">
        <v>33</v>
      </c>
      <c r="BJ34" t="s">
        <v>33</v>
      </c>
      <c r="BK34" t="s">
        <v>33</v>
      </c>
      <c r="BL34" t="s">
        <v>33</v>
      </c>
      <c r="BM34" t="s">
        <v>33</v>
      </c>
      <c r="BN34" t="s">
        <v>33</v>
      </c>
      <c r="BO34" t="s">
        <v>33</v>
      </c>
      <c r="BP34" t="s">
        <v>33</v>
      </c>
      <c r="BQ34" t="s">
        <v>33</v>
      </c>
      <c r="BR34" t="s">
        <v>33</v>
      </c>
      <c r="BS34" t="s">
        <v>33</v>
      </c>
      <c r="BT34" t="s">
        <v>33</v>
      </c>
      <c r="BU34" t="s">
        <v>33</v>
      </c>
      <c r="BV34" t="s">
        <v>33</v>
      </c>
      <c r="BW34" t="s">
        <v>33</v>
      </c>
      <c r="BX34" t="s">
        <v>33</v>
      </c>
      <c r="BY34" t="s">
        <v>33</v>
      </c>
      <c r="BZ34" t="s">
        <v>33</v>
      </c>
      <c r="CA34" t="s">
        <v>33</v>
      </c>
      <c r="CB34" t="s">
        <v>33</v>
      </c>
      <c r="CC34" t="s">
        <v>33</v>
      </c>
      <c r="CD34" t="s">
        <v>33</v>
      </c>
      <c r="CE34" t="s">
        <v>33</v>
      </c>
      <c r="CF34" t="s">
        <v>33</v>
      </c>
      <c r="CG34" t="s">
        <v>33</v>
      </c>
      <c r="CI34">
        <f t="shared" si="2"/>
        <v>0.60233462559646156</v>
      </c>
      <c r="CJ34">
        <f t="shared" si="0"/>
        <v>0</v>
      </c>
      <c r="CK34">
        <f t="shared" si="1"/>
        <v>0</v>
      </c>
    </row>
    <row r="35" spans="1:89" x14ac:dyDescent="0.25">
      <c r="A35" t="s">
        <v>118</v>
      </c>
      <c r="B35">
        <v>1</v>
      </c>
      <c r="C35" s="2">
        <v>2</v>
      </c>
      <c r="D35" s="2">
        <v>1</v>
      </c>
      <c r="E35" s="2">
        <v>1</v>
      </c>
      <c r="F35" s="2">
        <v>3</v>
      </c>
      <c r="G35" s="2">
        <v>3</v>
      </c>
      <c r="H35" t="s">
        <v>33</v>
      </c>
      <c r="I35" t="s">
        <v>33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 t="s">
        <v>33</v>
      </c>
      <c r="AA35" t="s">
        <v>33</v>
      </c>
      <c r="AB35" t="s">
        <v>33</v>
      </c>
      <c r="AC35" t="s">
        <v>33</v>
      </c>
      <c r="AD35" t="s">
        <v>33</v>
      </c>
      <c r="AE35" t="s">
        <v>33</v>
      </c>
      <c r="AF35" t="s">
        <v>33</v>
      </c>
      <c r="AG35" t="s">
        <v>33</v>
      </c>
      <c r="AH35" t="s">
        <v>33</v>
      </c>
      <c r="AI35" t="s">
        <v>33</v>
      </c>
      <c r="AJ35" t="s">
        <v>33</v>
      </c>
      <c r="AK35" t="s">
        <v>33</v>
      </c>
      <c r="AL35" t="s">
        <v>33</v>
      </c>
      <c r="AM35" t="s">
        <v>33</v>
      </c>
      <c r="AN35" t="s">
        <v>33</v>
      </c>
      <c r="AO35" t="s">
        <v>33</v>
      </c>
      <c r="AP35" t="s">
        <v>33</v>
      </c>
      <c r="AQ35" t="s">
        <v>33</v>
      </c>
      <c r="AR35">
        <v>0.71927756714132796</v>
      </c>
      <c r="AS35" t="s">
        <v>33</v>
      </c>
      <c r="AT35">
        <v>0</v>
      </c>
      <c r="AU35" t="s">
        <v>33</v>
      </c>
      <c r="AV35">
        <v>0.36699157085008399</v>
      </c>
      <c r="AW35">
        <v>0</v>
      </c>
      <c r="AX35" t="s">
        <v>33</v>
      </c>
      <c r="AY35" t="s">
        <v>33</v>
      </c>
      <c r="AZ35" t="s">
        <v>33</v>
      </c>
      <c r="BA35" t="s">
        <v>33</v>
      </c>
      <c r="BB35" t="s">
        <v>33</v>
      </c>
      <c r="BC35" t="s">
        <v>33</v>
      </c>
      <c r="BD35" t="s">
        <v>33</v>
      </c>
      <c r="BE35" t="s">
        <v>33</v>
      </c>
      <c r="BF35">
        <v>0.425614891459762</v>
      </c>
      <c r="BG35" t="s">
        <v>33</v>
      </c>
      <c r="BH35" t="s">
        <v>33</v>
      </c>
      <c r="BI35" t="s">
        <v>33</v>
      </c>
      <c r="BJ35" t="s">
        <v>33</v>
      </c>
      <c r="BK35" t="s">
        <v>33</v>
      </c>
      <c r="BL35" t="s">
        <v>33</v>
      </c>
      <c r="BM35" t="s">
        <v>33</v>
      </c>
      <c r="BN35" t="s">
        <v>33</v>
      </c>
      <c r="BO35" t="s">
        <v>33</v>
      </c>
      <c r="BP35" t="s">
        <v>33</v>
      </c>
      <c r="BQ35" t="s">
        <v>33</v>
      </c>
      <c r="BR35" t="s">
        <v>33</v>
      </c>
      <c r="BS35">
        <v>1</v>
      </c>
      <c r="BT35" t="s">
        <v>33</v>
      </c>
      <c r="BU35" t="s">
        <v>33</v>
      </c>
      <c r="BV35">
        <v>0.92296998734911195</v>
      </c>
      <c r="BW35" t="s">
        <v>33</v>
      </c>
      <c r="BX35" t="s">
        <v>33</v>
      </c>
      <c r="BY35" t="s">
        <v>33</v>
      </c>
      <c r="BZ35" t="s">
        <v>33</v>
      </c>
      <c r="CA35" t="s">
        <v>33</v>
      </c>
      <c r="CB35" t="s">
        <v>33</v>
      </c>
      <c r="CC35" t="s">
        <v>33</v>
      </c>
      <c r="CD35" t="s">
        <v>33</v>
      </c>
      <c r="CE35" t="s">
        <v>33</v>
      </c>
      <c r="CF35" t="s">
        <v>33</v>
      </c>
      <c r="CG35" t="s">
        <v>33</v>
      </c>
      <c r="CI35">
        <f t="shared" si="2"/>
        <v>0.71927756714132796</v>
      </c>
      <c r="CJ35">
        <f t="shared" si="0"/>
        <v>0.35852129246196918</v>
      </c>
      <c r="CK35">
        <f t="shared" si="1"/>
        <v>0.92296998734911195</v>
      </c>
    </row>
    <row r="36" spans="1:89" x14ac:dyDescent="0.25">
      <c r="A36" t="s">
        <v>46</v>
      </c>
      <c r="B36" t="s">
        <v>131</v>
      </c>
      <c r="H36" t="s">
        <v>33</v>
      </c>
      <c r="I36" t="s">
        <v>33</v>
      </c>
      <c r="J36" t="s">
        <v>33</v>
      </c>
      <c r="K36" t="s">
        <v>33</v>
      </c>
      <c r="L36">
        <v>0.72225013203002897</v>
      </c>
      <c r="M36">
        <v>0.85106382978723405</v>
      </c>
      <c r="N36" t="s">
        <v>33</v>
      </c>
      <c r="O36" t="s">
        <v>33</v>
      </c>
      <c r="P36" t="s">
        <v>33</v>
      </c>
      <c r="Q36" t="s">
        <v>33</v>
      </c>
      <c r="R36">
        <v>0.88257010641919298</v>
      </c>
      <c r="S36" t="s">
        <v>33</v>
      </c>
      <c r="T36">
        <v>0.88365725382299398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33</v>
      </c>
      <c r="AA36" t="s">
        <v>33</v>
      </c>
      <c r="AB36" t="s">
        <v>33</v>
      </c>
      <c r="AC36" t="s">
        <v>33</v>
      </c>
      <c r="AD36" t="s">
        <v>33</v>
      </c>
      <c r="AE36" t="s">
        <v>33</v>
      </c>
      <c r="AF36" t="s">
        <v>33</v>
      </c>
      <c r="AG36" t="s">
        <v>33</v>
      </c>
      <c r="AH36" t="s">
        <v>33</v>
      </c>
      <c r="AI36" t="s">
        <v>33</v>
      </c>
      <c r="AJ36" t="s">
        <v>33</v>
      </c>
      <c r="AK36" t="s">
        <v>33</v>
      </c>
      <c r="AL36" t="s">
        <v>33</v>
      </c>
      <c r="AM36" t="s">
        <v>33</v>
      </c>
      <c r="AN36" t="s">
        <v>33</v>
      </c>
      <c r="AO36" t="s">
        <v>33</v>
      </c>
      <c r="AP36" t="s">
        <v>33</v>
      </c>
      <c r="AQ36" t="s">
        <v>33</v>
      </c>
      <c r="AR36" t="s">
        <v>33</v>
      </c>
      <c r="AS36" t="s">
        <v>33</v>
      </c>
      <c r="AT36" t="s">
        <v>33</v>
      </c>
      <c r="AU36" t="s">
        <v>33</v>
      </c>
      <c r="AV36" t="s">
        <v>33</v>
      </c>
      <c r="AW36" t="s">
        <v>33</v>
      </c>
      <c r="AX36" t="s">
        <v>33</v>
      </c>
      <c r="AY36" t="s">
        <v>33</v>
      </c>
      <c r="AZ36" t="s">
        <v>33</v>
      </c>
      <c r="BA36" t="s">
        <v>33</v>
      </c>
      <c r="BB36" t="s">
        <v>33</v>
      </c>
      <c r="BC36" t="s">
        <v>33</v>
      </c>
      <c r="BD36" t="s">
        <v>33</v>
      </c>
      <c r="BE36" t="s">
        <v>33</v>
      </c>
      <c r="BF36" t="s">
        <v>33</v>
      </c>
      <c r="BG36" t="s">
        <v>33</v>
      </c>
      <c r="BH36" t="s">
        <v>33</v>
      </c>
      <c r="BI36" t="s">
        <v>33</v>
      </c>
      <c r="BJ36" t="s">
        <v>33</v>
      </c>
      <c r="BK36" t="s">
        <v>33</v>
      </c>
      <c r="BL36" t="s">
        <v>33</v>
      </c>
      <c r="BM36" t="s">
        <v>33</v>
      </c>
      <c r="BN36" t="s">
        <v>33</v>
      </c>
      <c r="BO36" t="s">
        <v>33</v>
      </c>
      <c r="BP36" t="s">
        <v>33</v>
      </c>
      <c r="BQ36" t="s">
        <v>33</v>
      </c>
      <c r="BR36" t="s">
        <v>33</v>
      </c>
      <c r="BS36" t="s">
        <v>33</v>
      </c>
      <c r="BT36" t="s">
        <v>33</v>
      </c>
      <c r="BU36" t="s">
        <v>33</v>
      </c>
      <c r="BV36" t="s">
        <v>33</v>
      </c>
      <c r="BW36" t="s">
        <v>33</v>
      </c>
      <c r="BX36" t="s">
        <v>33</v>
      </c>
      <c r="BY36" t="s">
        <v>33</v>
      </c>
      <c r="BZ36" t="s">
        <v>33</v>
      </c>
      <c r="CA36" t="s">
        <v>33</v>
      </c>
      <c r="CB36" t="s">
        <v>33</v>
      </c>
      <c r="CC36" t="s">
        <v>33</v>
      </c>
      <c r="CD36" t="s">
        <v>33</v>
      </c>
      <c r="CE36" t="s">
        <v>33</v>
      </c>
      <c r="CF36" t="s">
        <v>33</v>
      </c>
      <c r="CG36" t="s">
        <v>33</v>
      </c>
      <c r="CI36">
        <f t="shared" si="2"/>
        <v>0.83488533051486247</v>
      </c>
      <c r="CJ36">
        <f t="shared" si="0"/>
        <v>0</v>
      </c>
      <c r="CK36">
        <f t="shared" si="1"/>
        <v>0</v>
      </c>
    </row>
    <row r="37" spans="1:89" x14ac:dyDescent="0.25">
      <c r="A37" t="s">
        <v>34</v>
      </c>
      <c r="B37" t="s">
        <v>87</v>
      </c>
      <c r="C37" s="2">
        <v>7</v>
      </c>
      <c r="D37" s="2">
        <v>2</v>
      </c>
      <c r="E37" s="2">
        <v>2</v>
      </c>
      <c r="F37" s="2">
        <v>2</v>
      </c>
      <c r="G37" s="2">
        <v>3</v>
      </c>
      <c r="H37" t="s">
        <v>33</v>
      </c>
      <c r="I37" t="s">
        <v>33</v>
      </c>
      <c r="J37" t="s">
        <v>33</v>
      </c>
      <c r="K37" t="s">
        <v>33</v>
      </c>
      <c r="L37">
        <v>1</v>
      </c>
      <c r="M37">
        <v>0.5</v>
      </c>
      <c r="N37" t="s">
        <v>33</v>
      </c>
      <c r="O37" t="s">
        <v>33</v>
      </c>
      <c r="P37" t="s">
        <v>33</v>
      </c>
      <c r="Q37">
        <v>1</v>
      </c>
      <c r="R37">
        <v>0.85238020161996197</v>
      </c>
      <c r="S37" t="s">
        <v>33</v>
      </c>
      <c r="T37">
        <v>0.55555555555555503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33</v>
      </c>
      <c r="AA37" t="s">
        <v>33</v>
      </c>
      <c r="AB37" t="s">
        <v>33</v>
      </c>
      <c r="AC37" t="s">
        <v>33</v>
      </c>
      <c r="AD37" t="s">
        <v>33</v>
      </c>
      <c r="AE37" t="s">
        <v>33</v>
      </c>
      <c r="AF37" t="s">
        <v>33</v>
      </c>
      <c r="AG37" t="s">
        <v>33</v>
      </c>
      <c r="AH37">
        <v>0.95530726256983201</v>
      </c>
      <c r="AI37">
        <v>0.95854922279792698</v>
      </c>
      <c r="AJ37" t="s">
        <v>33</v>
      </c>
      <c r="AK37" t="s">
        <v>33</v>
      </c>
      <c r="AL37">
        <v>0.74641080802937698</v>
      </c>
      <c r="AM37" t="s">
        <v>33</v>
      </c>
      <c r="AN37" t="s">
        <v>33</v>
      </c>
      <c r="AO37" t="s">
        <v>33</v>
      </c>
      <c r="AP37" t="s">
        <v>33</v>
      </c>
      <c r="AQ37" t="s">
        <v>33</v>
      </c>
      <c r="AR37">
        <v>0.79591836734693799</v>
      </c>
      <c r="AS37" t="s">
        <v>33</v>
      </c>
      <c r="AT37" t="s">
        <v>33</v>
      </c>
      <c r="AU37" t="s">
        <v>33</v>
      </c>
      <c r="AV37" t="s">
        <v>33</v>
      </c>
      <c r="AW37">
        <v>0</v>
      </c>
      <c r="AX37" t="s">
        <v>33</v>
      </c>
      <c r="AY37" t="s">
        <v>33</v>
      </c>
      <c r="AZ37" t="s">
        <v>33</v>
      </c>
      <c r="BA37" t="s">
        <v>33</v>
      </c>
      <c r="BB37" t="s">
        <v>33</v>
      </c>
      <c r="BC37" t="s">
        <v>33</v>
      </c>
      <c r="BD37">
        <v>0.73737373737373701</v>
      </c>
      <c r="BE37">
        <v>0.29161530196351598</v>
      </c>
      <c r="BF37">
        <v>0.471440634203106</v>
      </c>
      <c r="BG37" t="s">
        <v>33</v>
      </c>
      <c r="BH37" t="s">
        <v>33</v>
      </c>
      <c r="BI37" t="s">
        <v>33</v>
      </c>
      <c r="BJ37" t="s">
        <v>33</v>
      </c>
      <c r="BK37" t="s">
        <v>33</v>
      </c>
      <c r="BL37">
        <v>0.88129688805918305</v>
      </c>
      <c r="BM37" t="s">
        <v>33</v>
      </c>
      <c r="BN37">
        <v>0</v>
      </c>
      <c r="BO37">
        <v>1</v>
      </c>
      <c r="BP37">
        <v>0.89516129032257996</v>
      </c>
      <c r="BQ37" t="s">
        <v>33</v>
      </c>
      <c r="BR37" t="s">
        <v>33</v>
      </c>
      <c r="BS37">
        <v>1</v>
      </c>
      <c r="BT37" t="s">
        <v>33</v>
      </c>
      <c r="BU37" t="s">
        <v>33</v>
      </c>
      <c r="BV37" t="s">
        <v>33</v>
      </c>
      <c r="BW37" t="s">
        <v>33</v>
      </c>
      <c r="BX37">
        <v>0.77842708333333299</v>
      </c>
      <c r="BY37" t="s">
        <v>33</v>
      </c>
      <c r="BZ37" t="s">
        <v>33</v>
      </c>
      <c r="CA37">
        <v>0.92808660901620099</v>
      </c>
      <c r="CB37" t="s">
        <v>33</v>
      </c>
      <c r="CC37" t="s">
        <v>33</v>
      </c>
      <c r="CD37" t="s">
        <v>33</v>
      </c>
      <c r="CE37" t="s">
        <v>33</v>
      </c>
      <c r="CF37" t="s">
        <v>33</v>
      </c>
      <c r="CG37">
        <v>0.79545454545454497</v>
      </c>
      <c r="CI37">
        <f t="shared" si="2"/>
        <v>0.83714168192008975</v>
      </c>
      <c r="CJ37">
        <f t="shared" si="0"/>
        <v>0.50189334883919978</v>
      </c>
      <c r="CK37">
        <f t="shared" si="1"/>
        <v>0.6469526451021792</v>
      </c>
    </row>
    <row r="38" spans="1:89" x14ac:dyDescent="0.25">
      <c r="A38" t="s">
        <v>90</v>
      </c>
      <c r="B38" t="s">
        <v>87</v>
      </c>
      <c r="C38" s="2">
        <v>10</v>
      </c>
      <c r="D38" s="2">
        <v>3</v>
      </c>
      <c r="E38" s="2">
        <v>2</v>
      </c>
      <c r="F38" s="2">
        <v>2</v>
      </c>
      <c r="G38" s="2">
        <v>3</v>
      </c>
      <c r="H38" t="s">
        <v>33</v>
      </c>
      <c r="I38" t="s">
        <v>33</v>
      </c>
      <c r="J38" t="s">
        <v>33</v>
      </c>
      <c r="K38" t="s">
        <v>33</v>
      </c>
      <c r="L38">
        <v>0.82608695652173902</v>
      </c>
      <c r="M38">
        <v>0.67391304347825998</v>
      </c>
      <c r="N38" t="s">
        <v>33</v>
      </c>
      <c r="O38" t="s">
        <v>33</v>
      </c>
      <c r="P38" t="s">
        <v>33</v>
      </c>
      <c r="Q38">
        <v>0.6</v>
      </c>
      <c r="R38">
        <v>0.66194823025580096</v>
      </c>
      <c r="S38">
        <v>0.90909090909090895</v>
      </c>
      <c r="T38">
        <v>0.90796715783923598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33</v>
      </c>
      <c r="AA38" t="s">
        <v>33</v>
      </c>
      <c r="AB38">
        <v>0.40213782037686902</v>
      </c>
      <c r="AC38">
        <v>0.601191601788578</v>
      </c>
      <c r="AD38" t="s">
        <v>33</v>
      </c>
      <c r="AE38" t="s">
        <v>33</v>
      </c>
      <c r="AF38" t="s">
        <v>33</v>
      </c>
      <c r="AG38" t="s">
        <v>33</v>
      </c>
      <c r="AH38">
        <v>0.94222222222222196</v>
      </c>
      <c r="AI38">
        <v>0.96666666666666601</v>
      </c>
      <c r="AJ38" t="s">
        <v>33</v>
      </c>
      <c r="AK38" t="s">
        <v>33</v>
      </c>
      <c r="AL38" t="s">
        <v>33</v>
      </c>
      <c r="AM38" t="s">
        <v>33</v>
      </c>
      <c r="AN38" t="s">
        <v>33</v>
      </c>
      <c r="AO38" t="s">
        <v>33</v>
      </c>
      <c r="AP38" t="s">
        <v>33</v>
      </c>
      <c r="AQ38" t="s">
        <v>33</v>
      </c>
      <c r="AR38">
        <v>0.38428732751905897</v>
      </c>
      <c r="AS38" t="s">
        <v>33</v>
      </c>
      <c r="AT38" t="s">
        <v>33</v>
      </c>
      <c r="AU38" t="s">
        <v>33</v>
      </c>
      <c r="AV38" t="s">
        <v>33</v>
      </c>
      <c r="AW38">
        <v>0</v>
      </c>
      <c r="AX38">
        <v>3.2365033508951299E-2</v>
      </c>
      <c r="AY38" t="s">
        <v>33</v>
      </c>
      <c r="AZ38" t="s">
        <v>33</v>
      </c>
      <c r="BA38" t="s">
        <v>33</v>
      </c>
      <c r="BB38" t="s">
        <v>33</v>
      </c>
      <c r="BC38" t="s">
        <v>33</v>
      </c>
      <c r="BD38">
        <v>0.91666666666666596</v>
      </c>
      <c r="BE38">
        <v>0.24305309596564401</v>
      </c>
      <c r="BF38">
        <v>0.65193948903601495</v>
      </c>
      <c r="BG38" t="s">
        <v>33</v>
      </c>
      <c r="BH38" t="s">
        <v>33</v>
      </c>
      <c r="BI38" t="s">
        <v>33</v>
      </c>
      <c r="BJ38" t="s">
        <v>33</v>
      </c>
      <c r="BK38" t="s">
        <v>33</v>
      </c>
      <c r="BL38">
        <v>0.915847056363153</v>
      </c>
      <c r="BM38" t="s">
        <v>33</v>
      </c>
      <c r="BN38">
        <v>0.54035378787878696</v>
      </c>
      <c r="BO38" t="s">
        <v>33</v>
      </c>
      <c r="BP38">
        <v>0.89527596777107799</v>
      </c>
      <c r="BQ38" t="s">
        <v>33</v>
      </c>
      <c r="BR38" t="s">
        <v>33</v>
      </c>
      <c r="BS38" t="s">
        <v>33</v>
      </c>
      <c r="BT38" t="s">
        <v>33</v>
      </c>
      <c r="BU38" t="s">
        <v>33</v>
      </c>
      <c r="BV38" t="s">
        <v>33</v>
      </c>
      <c r="BW38" t="s">
        <v>33</v>
      </c>
      <c r="BX38">
        <v>0.75697797619047602</v>
      </c>
      <c r="BY38" t="s">
        <v>33</v>
      </c>
      <c r="BZ38" t="s">
        <v>33</v>
      </c>
      <c r="CA38">
        <v>0.99705703304754301</v>
      </c>
      <c r="CB38" t="s">
        <v>33</v>
      </c>
      <c r="CC38" t="s">
        <v>33</v>
      </c>
      <c r="CD38" t="s">
        <v>33</v>
      </c>
      <c r="CE38" t="s">
        <v>33</v>
      </c>
      <c r="CF38" t="s">
        <v>33</v>
      </c>
      <c r="CG38">
        <v>0.92307692307692302</v>
      </c>
      <c r="CI38">
        <f t="shared" si="2"/>
        <v>0.78526105176131822</v>
      </c>
      <c r="CJ38">
        <f t="shared" si="0"/>
        <v>0.26589908777749582</v>
      </c>
      <c r="CK38">
        <f t="shared" si="1"/>
        <v>0.80255896336998966</v>
      </c>
    </row>
    <row r="39" spans="1:89" x14ac:dyDescent="0.25">
      <c r="A39" t="s">
        <v>125</v>
      </c>
      <c r="B39">
        <v>1</v>
      </c>
      <c r="C39" s="2">
        <v>8</v>
      </c>
      <c r="D39" s="2">
        <v>3</v>
      </c>
      <c r="E39" s="2">
        <v>3</v>
      </c>
      <c r="F39" s="2">
        <v>3</v>
      </c>
      <c r="G39" s="2">
        <v>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>
        <v>0.784070045535737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  <c r="AG39" t="s">
        <v>33</v>
      </c>
      <c r="AH39" t="s">
        <v>33</v>
      </c>
      <c r="AI39" t="s">
        <v>33</v>
      </c>
      <c r="AJ39" t="s">
        <v>33</v>
      </c>
      <c r="AK39" t="s">
        <v>33</v>
      </c>
      <c r="AL39" t="s">
        <v>33</v>
      </c>
      <c r="AM39" t="s">
        <v>33</v>
      </c>
      <c r="AN39" t="s">
        <v>33</v>
      </c>
      <c r="AO39" t="s">
        <v>33</v>
      </c>
      <c r="AP39">
        <v>1</v>
      </c>
      <c r="AQ39" t="s">
        <v>33</v>
      </c>
      <c r="AR39">
        <v>0.25</v>
      </c>
      <c r="AS39" t="s">
        <v>33</v>
      </c>
      <c r="AT39">
        <v>0.51698336769592201</v>
      </c>
      <c r="AU39">
        <v>1</v>
      </c>
      <c r="AV39">
        <v>1</v>
      </c>
      <c r="AW39">
        <v>1</v>
      </c>
      <c r="AX39" t="s">
        <v>33</v>
      </c>
      <c r="AY39" t="s">
        <v>33</v>
      </c>
      <c r="AZ39" t="s">
        <v>33</v>
      </c>
      <c r="BA39" t="s">
        <v>33</v>
      </c>
      <c r="BB39" t="s">
        <v>33</v>
      </c>
      <c r="BC39" t="s">
        <v>33</v>
      </c>
      <c r="BD39" t="s">
        <v>33</v>
      </c>
      <c r="BE39" t="s">
        <v>33</v>
      </c>
      <c r="BF39">
        <v>0.60459172543789996</v>
      </c>
      <c r="BG39" t="s">
        <v>33</v>
      </c>
      <c r="BH39" t="s">
        <v>33</v>
      </c>
      <c r="BI39" t="s">
        <v>33</v>
      </c>
      <c r="BJ39" t="s">
        <v>33</v>
      </c>
      <c r="BK39" t="s">
        <v>33</v>
      </c>
      <c r="BL39" t="s">
        <v>33</v>
      </c>
      <c r="BM39" t="s">
        <v>33</v>
      </c>
      <c r="BN39" t="s">
        <v>33</v>
      </c>
      <c r="BO39" t="s">
        <v>33</v>
      </c>
      <c r="BP39" t="s">
        <v>33</v>
      </c>
      <c r="BQ39" t="s">
        <v>33</v>
      </c>
      <c r="BR39" t="s">
        <v>33</v>
      </c>
      <c r="BS39">
        <v>1</v>
      </c>
      <c r="BT39" t="s">
        <v>33</v>
      </c>
      <c r="BU39" t="s">
        <v>33</v>
      </c>
      <c r="BV39">
        <v>0.81978412537537604</v>
      </c>
      <c r="BW39">
        <v>0.56055555555555503</v>
      </c>
      <c r="BX39" t="s">
        <v>33</v>
      </c>
      <c r="BY39" t="s">
        <v>33</v>
      </c>
      <c r="BZ39" t="s">
        <v>33</v>
      </c>
      <c r="CA39" t="s">
        <v>33</v>
      </c>
      <c r="CB39" t="s">
        <v>33</v>
      </c>
      <c r="CC39" t="s">
        <v>33</v>
      </c>
      <c r="CD39" t="s">
        <v>33</v>
      </c>
      <c r="CE39" t="s">
        <v>33</v>
      </c>
      <c r="CF39" t="s">
        <v>33</v>
      </c>
      <c r="CG39" t="s">
        <v>33</v>
      </c>
      <c r="CI39">
        <f t="shared" si="2"/>
        <v>0.67802334851191226</v>
      </c>
      <c r="CJ39">
        <f t="shared" si="0"/>
        <v>0.85359584885563711</v>
      </c>
      <c r="CK39">
        <f t="shared" si="1"/>
        <v>0.69016984046546548</v>
      </c>
    </row>
    <row r="40" spans="1:89" x14ac:dyDescent="0.25">
      <c r="A40" t="s">
        <v>47</v>
      </c>
      <c r="B40" t="s">
        <v>131</v>
      </c>
      <c r="H40" t="s">
        <v>33</v>
      </c>
      <c r="I40" t="s">
        <v>33</v>
      </c>
      <c r="J40" t="s">
        <v>33</v>
      </c>
      <c r="K40" t="s">
        <v>33</v>
      </c>
      <c r="L40">
        <v>0.98454422744259096</v>
      </c>
      <c r="M40">
        <v>0.83333333333333304</v>
      </c>
      <c r="N40" t="s">
        <v>33</v>
      </c>
      <c r="O40" t="s">
        <v>33</v>
      </c>
      <c r="P40" t="s">
        <v>33</v>
      </c>
      <c r="Q40" t="s">
        <v>33</v>
      </c>
      <c r="R40">
        <v>0.86767871642266303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  <c r="AC40" t="s">
        <v>33</v>
      </c>
      <c r="AD40" t="s">
        <v>33</v>
      </c>
      <c r="AE40" t="s">
        <v>33</v>
      </c>
      <c r="AF40" t="s">
        <v>33</v>
      </c>
      <c r="AG40" t="s">
        <v>33</v>
      </c>
      <c r="AH40" t="s">
        <v>33</v>
      </c>
      <c r="AI40" t="s">
        <v>33</v>
      </c>
      <c r="AJ40" t="s">
        <v>33</v>
      </c>
      <c r="AK40" t="s">
        <v>33</v>
      </c>
      <c r="AL40" t="s">
        <v>33</v>
      </c>
      <c r="AM40" t="s">
        <v>33</v>
      </c>
      <c r="AN40" t="s">
        <v>33</v>
      </c>
      <c r="AO40" t="s">
        <v>33</v>
      </c>
      <c r="AP40" t="s">
        <v>33</v>
      </c>
      <c r="AQ40" t="s">
        <v>33</v>
      </c>
      <c r="AR40" t="s">
        <v>33</v>
      </c>
      <c r="AS40" t="s">
        <v>33</v>
      </c>
      <c r="AT40" t="s">
        <v>33</v>
      </c>
      <c r="AU40" t="s">
        <v>33</v>
      </c>
      <c r="AV40" t="s">
        <v>33</v>
      </c>
      <c r="AW40" t="s">
        <v>33</v>
      </c>
      <c r="AX40" t="s">
        <v>33</v>
      </c>
      <c r="AY40" t="s">
        <v>33</v>
      </c>
      <c r="AZ40" t="s">
        <v>33</v>
      </c>
      <c r="BA40" t="s">
        <v>33</v>
      </c>
      <c r="BB40" t="s">
        <v>33</v>
      </c>
      <c r="BC40" t="s">
        <v>33</v>
      </c>
      <c r="BD40" t="s">
        <v>33</v>
      </c>
      <c r="BE40" t="s">
        <v>33</v>
      </c>
      <c r="BF40" t="s">
        <v>33</v>
      </c>
      <c r="BG40" t="s">
        <v>33</v>
      </c>
      <c r="BH40" t="s">
        <v>33</v>
      </c>
      <c r="BI40" t="s">
        <v>33</v>
      </c>
      <c r="BJ40" t="s">
        <v>33</v>
      </c>
      <c r="BK40" t="s">
        <v>33</v>
      </c>
      <c r="BL40" t="s">
        <v>33</v>
      </c>
      <c r="BM40" t="s">
        <v>33</v>
      </c>
      <c r="BN40" t="s">
        <v>33</v>
      </c>
      <c r="BO40" t="s">
        <v>33</v>
      </c>
      <c r="BP40" t="s">
        <v>33</v>
      </c>
      <c r="BQ40" t="s">
        <v>33</v>
      </c>
      <c r="BR40" t="s">
        <v>33</v>
      </c>
      <c r="BS40" t="s">
        <v>33</v>
      </c>
      <c r="BT40" t="s">
        <v>33</v>
      </c>
      <c r="BU40" t="s">
        <v>33</v>
      </c>
      <c r="BV40" t="s">
        <v>33</v>
      </c>
      <c r="BW40" t="s">
        <v>33</v>
      </c>
      <c r="BX40" t="s">
        <v>33</v>
      </c>
      <c r="BY40" t="s">
        <v>33</v>
      </c>
      <c r="BZ40" t="s">
        <v>33</v>
      </c>
      <c r="CA40" t="s">
        <v>33</v>
      </c>
      <c r="CB40" t="s">
        <v>33</v>
      </c>
      <c r="CC40" t="s">
        <v>33</v>
      </c>
      <c r="CD40" t="s">
        <v>33</v>
      </c>
      <c r="CE40" t="s">
        <v>33</v>
      </c>
      <c r="CF40" t="s">
        <v>33</v>
      </c>
      <c r="CG40" t="s">
        <v>33</v>
      </c>
      <c r="CI40">
        <f t="shared" si="2"/>
        <v>0.89518542573286242</v>
      </c>
      <c r="CJ40">
        <f t="shared" si="0"/>
        <v>0</v>
      </c>
      <c r="CK40">
        <f t="shared" si="1"/>
        <v>0</v>
      </c>
    </row>
    <row r="41" spans="1:89" x14ac:dyDescent="0.25">
      <c r="A41" t="s">
        <v>41</v>
      </c>
      <c r="B41">
        <v>1</v>
      </c>
      <c r="C41" s="2">
        <v>9</v>
      </c>
      <c r="D41" s="2">
        <v>3</v>
      </c>
      <c r="E41" s="2">
        <v>3</v>
      </c>
      <c r="F41" s="2">
        <v>2</v>
      </c>
      <c r="G41" s="2">
        <v>3</v>
      </c>
      <c r="H41" t="s">
        <v>33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33</v>
      </c>
      <c r="AA41">
        <v>0.49463878092868102</v>
      </c>
      <c r="AB41" t="s">
        <v>33</v>
      </c>
      <c r="AC41" t="s">
        <v>33</v>
      </c>
      <c r="AD41" t="s">
        <v>33</v>
      </c>
      <c r="AE41" t="s">
        <v>33</v>
      </c>
      <c r="AF41" t="s">
        <v>33</v>
      </c>
      <c r="AG41" t="s">
        <v>33</v>
      </c>
      <c r="AH41" t="s">
        <v>33</v>
      </c>
      <c r="AI41" t="s">
        <v>33</v>
      </c>
      <c r="AJ41" t="s">
        <v>33</v>
      </c>
      <c r="AK41" t="s">
        <v>33</v>
      </c>
      <c r="AL41" t="s">
        <v>33</v>
      </c>
      <c r="AM41" t="s">
        <v>33</v>
      </c>
      <c r="AN41" t="s">
        <v>33</v>
      </c>
      <c r="AO41">
        <v>1</v>
      </c>
      <c r="AP41">
        <v>0.80403305136815195</v>
      </c>
      <c r="AQ41" t="s">
        <v>33</v>
      </c>
      <c r="AR41">
        <v>0.83528895317305796</v>
      </c>
      <c r="AS41" t="s">
        <v>33</v>
      </c>
      <c r="AT41" t="s">
        <v>33</v>
      </c>
      <c r="AU41" t="s">
        <v>33</v>
      </c>
      <c r="AV41">
        <v>0</v>
      </c>
      <c r="AW41" t="s">
        <v>33</v>
      </c>
      <c r="AX41" t="s">
        <v>33</v>
      </c>
      <c r="AY41" t="s">
        <v>33</v>
      </c>
      <c r="AZ41" t="s">
        <v>33</v>
      </c>
      <c r="BA41" t="s">
        <v>33</v>
      </c>
      <c r="BB41" t="s">
        <v>33</v>
      </c>
      <c r="BC41" t="s">
        <v>33</v>
      </c>
      <c r="BD41" t="s">
        <v>33</v>
      </c>
      <c r="BE41" t="s">
        <v>33</v>
      </c>
      <c r="BF41">
        <v>0.80054681322980503</v>
      </c>
      <c r="BG41" t="s">
        <v>33</v>
      </c>
      <c r="BH41" t="s">
        <v>33</v>
      </c>
      <c r="BI41" t="s">
        <v>33</v>
      </c>
      <c r="BJ41" t="s">
        <v>33</v>
      </c>
      <c r="BK41" t="s">
        <v>33</v>
      </c>
      <c r="BL41" t="s">
        <v>33</v>
      </c>
      <c r="BM41" t="s">
        <v>33</v>
      </c>
      <c r="BN41" t="s">
        <v>33</v>
      </c>
      <c r="BO41" t="s">
        <v>33</v>
      </c>
      <c r="BP41" t="s">
        <v>33</v>
      </c>
      <c r="BQ41" t="s">
        <v>33</v>
      </c>
      <c r="BR41" t="s">
        <v>33</v>
      </c>
      <c r="BS41">
        <v>0.21109548169995901</v>
      </c>
      <c r="BT41" t="s">
        <v>33</v>
      </c>
      <c r="BU41" t="s">
        <v>33</v>
      </c>
      <c r="BV41">
        <v>0.96082753654066799</v>
      </c>
      <c r="BW41">
        <v>0.22249509803921499</v>
      </c>
      <c r="BX41" t="s">
        <v>33</v>
      </c>
      <c r="BY41" t="s">
        <v>33</v>
      </c>
      <c r="BZ41" t="s">
        <v>33</v>
      </c>
      <c r="CA41" t="s">
        <v>33</v>
      </c>
      <c r="CB41" t="s">
        <v>33</v>
      </c>
      <c r="CC41" t="s">
        <v>33</v>
      </c>
      <c r="CD41" t="s">
        <v>33</v>
      </c>
      <c r="CE41" t="s">
        <v>33</v>
      </c>
      <c r="CF41" t="s">
        <v>33</v>
      </c>
      <c r="CG41" t="s">
        <v>33</v>
      </c>
      <c r="CI41">
        <f t="shared" si="2"/>
        <v>0.77664257803391301</v>
      </c>
      <c r="CJ41">
        <f t="shared" si="0"/>
        <v>0.45391883657447901</v>
      </c>
      <c r="CK41">
        <f t="shared" si="1"/>
        <v>0.59166131728994154</v>
      </c>
    </row>
    <row r="42" spans="1:89" x14ac:dyDescent="0.25">
      <c r="A42" t="s">
        <v>48</v>
      </c>
      <c r="B42">
        <v>3</v>
      </c>
      <c r="H42" t="s">
        <v>33</v>
      </c>
      <c r="I42" t="s">
        <v>33</v>
      </c>
      <c r="J42" t="s">
        <v>33</v>
      </c>
      <c r="K42" t="s">
        <v>33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 t="s">
        <v>33</v>
      </c>
      <c r="AA42">
        <v>1</v>
      </c>
      <c r="AB42" t="s">
        <v>33</v>
      </c>
      <c r="AC42" t="s">
        <v>33</v>
      </c>
      <c r="AD42" t="s">
        <v>33</v>
      </c>
      <c r="AE42" t="s">
        <v>33</v>
      </c>
      <c r="AF42" t="s">
        <v>33</v>
      </c>
      <c r="AG42" t="s">
        <v>33</v>
      </c>
      <c r="AH42" t="s">
        <v>33</v>
      </c>
      <c r="AI42" t="s">
        <v>33</v>
      </c>
      <c r="AJ42" t="s">
        <v>33</v>
      </c>
      <c r="AK42" t="s">
        <v>33</v>
      </c>
      <c r="AL42" t="s">
        <v>33</v>
      </c>
      <c r="AM42" t="s">
        <v>33</v>
      </c>
      <c r="AN42" t="s">
        <v>33</v>
      </c>
      <c r="AO42" t="s">
        <v>33</v>
      </c>
      <c r="AP42" t="s">
        <v>33</v>
      </c>
      <c r="AQ42" t="s">
        <v>33</v>
      </c>
      <c r="AR42" t="s">
        <v>33</v>
      </c>
      <c r="AS42" t="s">
        <v>33</v>
      </c>
      <c r="AT42" t="s">
        <v>33</v>
      </c>
      <c r="AU42" t="s">
        <v>33</v>
      </c>
      <c r="AV42" t="s">
        <v>33</v>
      </c>
      <c r="AW42" t="s">
        <v>33</v>
      </c>
      <c r="AX42" t="s">
        <v>33</v>
      </c>
      <c r="AY42" t="s">
        <v>33</v>
      </c>
      <c r="AZ42">
        <v>0.99004975124378103</v>
      </c>
      <c r="BA42" t="s">
        <v>33</v>
      </c>
      <c r="BB42">
        <v>0.95833333333333304</v>
      </c>
      <c r="BC42" t="s">
        <v>33</v>
      </c>
      <c r="BD42" t="s">
        <v>33</v>
      </c>
      <c r="BE42" t="s">
        <v>33</v>
      </c>
      <c r="BF42" t="s">
        <v>33</v>
      </c>
      <c r="BG42" t="s">
        <v>33</v>
      </c>
      <c r="BH42">
        <v>0.967741935483871</v>
      </c>
      <c r="BI42" t="s">
        <v>33</v>
      </c>
      <c r="BJ42" t="s">
        <v>33</v>
      </c>
      <c r="BK42" t="s">
        <v>33</v>
      </c>
      <c r="BL42" t="s">
        <v>33</v>
      </c>
      <c r="BM42" t="s">
        <v>33</v>
      </c>
      <c r="BN42">
        <v>0.974395527279594</v>
      </c>
      <c r="BO42" t="s">
        <v>33</v>
      </c>
      <c r="BP42" t="s">
        <v>33</v>
      </c>
      <c r="BQ42">
        <v>0.97402597402597402</v>
      </c>
      <c r="BR42">
        <v>0.75</v>
      </c>
      <c r="BS42" t="s">
        <v>33</v>
      </c>
      <c r="BT42">
        <v>0.97674418604651103</v>
      </c>
      <c r="BU42" t="s">
        <v>33</v>
      </c>
      <c r="BV42" t="s">
        <v>33</v>
      </c>
      <c r="BW42">
        <v>0.98091227974443596</v>
      </c>
      <c r="BX42" t="s">
        <v>33</v>
      </c>
      <c r="BY42" t="s">
        <v>33</v>
      </c>
      <c r="BZ42" t="s">
        <v>33</v>
      </c>
      <c r="CA42" t="s">
        <v>33</v>
      </c>
      <c r="CB42">
        <v>0.76785714285714202</v>
      </c>
      <c r="CC42" t="s">
        <v>33</v>
      </c>
      <c r="CD42">
        <v>0.64713064713064705</v>
      </c>
      <c r="CE42" t="s">
        <v>33</v>
      </c>
      <c r="CF42" t="s">
        <v>33</v>
      </c>
      <c r="CG42" t="s">
        <v>33</v>
      </c>
      <c r="CI42">
        <f t="shared" si="2"/>
        <v>0.89243144112458439</v>
      </c>
      <c r="CJ42">
        <f t="shared" si="0"/>
        <v>0</v>
      </c>
      <c r="CK42">
        <f t="shared" si="1"/>
        <v>0.97765390351201498</v>
      </c>
    </row>
    <row r="43" spans="1:89" x14ac:dyDescent="0.25">
      <c r="A43" t="s">
        <v>35</v>
      </c>
      <c r="B43">
        <v>1</v>
      </c>
      <c r="C43" s="2">
        <v>10</v>
      </c>
      <c r="D43" s="2">
        <v>1</v>
      </c>
      <c r="E43" s="2">
        <v>2</v>
      </c>
      <c r="F43" s="2">
        <v>3</v>
      </c>
      <c r="G43" s="2">
        <v>3</v>
      </c>
      <c r="H43" t="s">
        <v>33</v>
      </c>
      <c r="I43" t="s">
        <v>33</v>
      </c>
      <c r="J43" t="s">
        <v>33</v>
      </c>
      <c r="K43" t="s">
        <v>33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 t="s">
        <v>33</v>
      </c>
      <c r="AA43" t="s">
        <v>33</v>
      </c>
      <c r="AB43" t="s">
        <v>33</v>
      </c>
      <c r="AC43" t="s">
        <v>33</v>
      </c>
      <c r="AD43" t="s">
        <v>33</v>
      </c>
      <c r="AE43" t="s">
        <v>33</v>
      </c>
      <c r="AF43" t="s">
        <v>33</v>
      </c>
      <c r="AG43" t="s">
        <v>33</v>
      </c>
      <c r="AH43" t="s">
        <v>33</v>
      </c>
      <c r="AI43" t="s">
        <v>33</v>
      </c>
      <c r="AJ43" t="s">
        <v>33</v>
      </c>
      <c r="AK43" t="s">
        <v>33</v>
      </c>
      <c r="AL43" t="s">
        <v>33</v>
      </c>
      <c r="AM43" t="s">
        <v>33</v>
      </c>
      <c r="AN43" t="s">
        <v>33</v>
      </c>
      <c r="AO43" t="s">
        <v>33</v>
      </c>
      <c r="AP43" t="s">
        <v>33</v>
      </c>
      <c r="AQ43" t="s">
        <v>33</v>
      </c>
      <c r="AR43">
        <v>0.28205128205128199</v>
      </c>
      <c r="AS43" t="s">
        <v>33</v>
      </c>
      <c r="AT43" t="s">
        <v>33</v>
      </c>
      <c r="AU43" t="s">
        <v>33</v>
      </c>
      <c r="AV43">
        <v>0.118002654440472</v>
      </c>
      <c r="AW43" t="s">
        <v>33</v>
      </c>
      <c r="AX43" t="s">
        <v>33</v>
      </c>
      <c r="AY43" t="s">
        <v>33</v>
      </c>
      <c r="AZ43" t="s">
        <v>33</v>
      </c>
      <c r="BA43" t="s">
        <v>33</v>
      </c>
      <c r="BB43" t="s">
        <v>33</v>
      </c>
      <c r="BC43" t="s">
        <v>33</v>
      </c>
      <c r="BD43" t="s">
        <v>33</v>
      </c>
      <c r="BE43" t="s">
        <v>33</v>
      </c>
      <c r="BF43">
        <v>0.89394181204900802</v>
      </c>
      <c r="BG43" t="s">
        <v>33</v>
      </c>
      <c r="BH43" t="s">
        <v>33</v>
      </c>
      <c r="BI43" t="s">
        <v>33</v>
      </c>
      <c r="BJ43" t="s">
        <v>33</v>
      </c>
      <c r="BK43" t="s">
        <v>33</v>
      </c>
      <c r="BL43" t="s">
        <v>33</v>
      </c>
      <c r="BM43" t="s">
        <v>33</v>
      </c>
      <c r="BN43" t="s">
        <v>33</v>
      </c>
      <c r="BO43" t="s">
        <v>33</v>
      </c>
      <c r="BP43" t="s">
        <v>33</v>
      </c>
      <c r="BQ43" t="s">
        <v>33</v>
      </c>
      <c r="BR43" t="s">
        <v>33</v>
      </c>
      <c r="BS43">
        <v>0.118002654440472</v>
      </c>
      <c r="BT43" t="s">
        <v>33</v>
      </c>
      <c r="BU43" t="s">
        <v>33</v>
      </c>
      <c r="BV43">
        <v>0.92885561314056397</v>
      </c>
      <c r="BW43">
        <v>0.56244553571428502</v>
      </c>
      <c r="BX43" t="s">
        <v>33</v>
      </c>
      <c r="BY43" t="s">
        <v>33</v>
      </c>
      <c r="BZ43" t="s">
        <v>33</v>
      </c>
      <c r="CA43" t="s">
        <v>33</v>
      </c>
      <c r="CB43" t="s">
        <v>33</v>
      </c>
      <c r="CC43" t="s">
        <v>33</v>
      </c>
      <c r="CD43" t="s">
        <v>33</v>
      </c>
      <c r="CE43" t="s">
        <v>33</v>
      </c>
      <c r="CF43" t="s">
        <v>33</v>
      </c>
      <c r="CG43" t="s">
        <v>33</v>
      </c>
      <c r="CI43">
        <f t="shared" si="2"/>
        <v>0.28205128205128199</v>
      </c>
      <c r="CJ43">
        <f t="shared" si="0"/>
        <v>0.37664904030998403</v>
      </c>
      <c r="CK43">
        <f t="shared" si="1"/>
        <v>0.74565057442742444</v>
      </c>
    </row>
    <row r="44" spans="1:89" x14ac:dyDescent="0.25">
      <c r="A44" t="s">
        <v>50</v>
      </c>
      <c r="B44" t="s">
        <v>131</v>
      </c>
      <c r="H44" t="s">
        <v>33</v>
      </c>
      <c r="I44" t="s">
        <v>33</v>
      </c>
      <c r="J44" t="s">
        <v>33</v>
      </c>
      <c r="K44" t="s">
        <v>33</v>
      </c>
      <c r="L44">
        <v>0.78746872703764403</v>
      </c>
      <c r="M44">
        <v>0.79365079365079305</v>
      </c>
      <c r="N44" t="s">
        <v>33</v>
      </c>
      <c r="O44" t="s">
        <v>33</v>
      </c>
      <c r="P44" t="s">
        <v>33</v>
      </c>
      <c r="Q44" t="s">
        <v>33</v>
      </c>
      <c r="R44">
        <v>0.70899873987142303</v>
      </c>
      <c r="S44" t="s">
        <v>33</v>
      </c>
      <c r="T44">
        <v>0.58333333333333304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33</v>
      </c>
      <c r="AA44" t="s">
        <v>33</v>
      </c>
      <c r="AB44" t="s">
        <v>33</v>
      </c>
      <c r="AC44" t="s">
        <v>33</v>
      </c>
      <c r="AD44" t="s">
        <v>33</v>
      </c>
      <c r="AE44" t="s">
        <v>33</v>
      </c>
      <c r="AF44" t="s">
        <v>33</v>
      </c>
      <c r="AG44" t="s">
        <v>33</v>
      </c>
      <c r="AH44" t="s">
        <v>33</v>
      </c>
      <c r="AI44" t="s">
        <v>33</v>
      </c>
      <c r="AJ44" t="s">
        <v>33</v>
      </c>
      <c r="AK44" t="s">
        <v>33</v>
      </c>
      <c r="AL44" t="s">
        <v>33</v>
      </c>
      <c r="AM44" t="s">
        <v>33</v>
      </c>
      <c r="AN44" t="s">
        <v>33</v>
      </c>
      <c r="AO44" t="s">
        <v>33</v>
      </c>
      <c r="AP44" t="s">
        <v>33</v>
      </c>
      <c r="AQ44" t="s">
        <v>33</v>
      </c>
      <c r="AR44" t="s">
        <v>33</v>
      </c>
      <c r="AS44" t="s">
        <v>33</v>
      </c>
      <c r="AT44" t="s">
        <v>33</v>
      </c>
      <c r="AU44" t="s">
        <v>33</v>
      </c>
      <c r="AV44" t="s">
        <v>33</v>
      </c>
      <c r="AW44" t="s">
        <v>33</v>
      </c>
      <c r="AX44" t="s">
        <v>33</v>
      </c>
      <c r="AY44" t="s">
        <v>33</v>
      </c>
      <c r="AZ44" t="s">
        <v>33</v>
      </c>
      <c r="BA44" t="s">
        <v>33</v>
      </c>
      <c r="BB44" t="s">
        <v>33</v>
      </c>
      <c r="BC44" t="s">
        <v>33</v>
      </c>
      <c r="BD44" t="s">
        <v>33</v>
      </c>
      <c r="BE44" t="s">
        <v>33</v>
      </c>
      <c r="BF44" t="s">
        <v>33</v>
      </c>
      <c r="BG44" t="s">
        <v>33</v>
      </c>
      <c r="BH44" t="s">
        <v>33</v>
      </c>
      <c r="BI44" t="s">
        <v>33</v>
      </c>
      <c r="BJ44" t="s">
        <v>33</v>
      </c>
      <c r="BK44" t="s">
        <v>33</v>
      </c>
      <c r="BL44" t="s">
        <v>33</v>
      </c>
      <c r="BM44" t="s">
        <v>33</v>
      </c>
      <c r="BN44" t="s">
        <v>33</v>
      </c>
      <c r="BO44" t="s">
        <v>33</v>
      </c>
      <c r="BP44" t="s">
        <v>33</v>
      </c>
      <c r="BQ44" t="s">
        <v>33</v>
      </c>
      <c r="BR44" t="s">
        <v>33</v>
      </c>
      <c r="BS44" t="s">
        <v>33</v>
      </c>
      <c r="BT44" t="s">
        <v>33</v>
      </c>
      <c r="BU44" t="s">
        <v>33</v>
      </c>
      <c r="BV44" t="s">
        <v>33</v>
      </c>
      <c r="BW44" t="s">
        <v>33</v>
      </c>
      <c r="BX44" t="s">
        <v>33</v>
      </c>
      <c r="BY44" t="s">
        <v>33</v>
      </c>
      <c r="BZ44" t="s">
        <v>33</v>
      </c>
      <c r="CA44" t="s">
        <v>33</v>
      </c>
      <c r="CB44" t="s">
        <v>33</v>
      </c>
      <c r="CC44" t="s">
        <v>33</v>
      </c>
      <c r="CD44" t="s">
        <v>33</v>
      </c>
      <c r="CE44" t="s">
        <v>33</v>
      </c>
      <c r="CF44" t="s">
        <v>33</v>
      </c>
      <c r="CG44" t="s">
        <v>33</v>
      </c>
      <c r="CI44">
        <f t="shared" si="2"/>
        <v>0.71836289847329826</v>
      </c>
      <c r="CJ44">
        <f t="shared" si="0"/>
        <v>0</v>
      </c>
      <c r="CK44">
        <f t="shared" si="1"/>
        <v>0</v>
      </c>
    </row>
    <row r="45" spans="1:89" x14ac:dyDescent="0.25">
      <c r="A45" t="s">
        <v>69</v>
      </c>
      <c r="B45" t="s">
        <v>72</v>
      </c>
      <c r="C45" s="2">
        <v>9</v>
      </c>
      <c r="D45" s="2">
        <v>3</v>
      </c>
      <c r="E45" s="2">
        <v>3</v>
      </c>
      <c r="F45" s="2">
        <v>3</v>
      </c>
      <c r="G45" s="2">
        <v>3</v>
      </c>
      <c r="H45" t="s">
        <v>33</v>
      </c>
      <c r="I45" t="s">
        <v>33</v>
      </c>
      <c r="J45">
        <v>1</v>
      </c>
      <c r="K45" t="s">
        <v>33</v>
      </c>
      <c r="L45">
        <v>0.75025780662348796</v>
      </c>
      <c r="M45">
        <v>0.76923076923076905</v>
      </c>
      <c r="N45" t="s">
        <v>33</v>
      </c>
      <c r="O45">
        <v>0.84502841847511101</v>
      </c>
      <c r="P45" t="s">
        <v>33</v>
      </c>
      <c r="Q45" t="s">
        <v>33</v>
      </c>
      <c r="R45" t="s">
        <v>33</v>
      </c>
      <c r="S45" t="s">
        <v>33</v>
      </c>
      <c r="T45">
        <v>0.60593956272304506</v>
      </c>
      <c r="U45" t="s">
        <v>33</v>
      </c>
      <c r="V45" t="s">
        <v>33</v>
      </c>
      <c r="W45" t="s">
        <v>33</v>
      </c>
      <c r="X45" t="s">
        <v>33</v>
      </c>
      <c r="Y45" t="s">
        <v>33</v>
      </c>
      <c r="Z45">
        <v>1</v>
      </c>
      <c r="AA45" t="s">
        <v>33</v>
      </c>
      <c r="AB45" t="s">
        <v>33</v>
      </c>
      <c r="AC45">
        <v>0.55487365490046003</v>
      </c>
      <c r="AD45" t="s">
        <v>33</v>
      </c>
      <c r="AE45" t="s">
        <v>33</v>
      </c>
      <c r="AF45" t="s">
        <v>33</v>
      </c>
      <c r="AG45" t="s">
        <v>33</v>
      </c>
      <c r="AH45">
        <v>0.93212669683257898</v>
      </c>
      <c r="AI45">
        <v>0.96820233443048298</v>
      </c>
      <c r="AJ45" t="s">
        <v>33</v>
      </c>
      <c r="AK45">
        <v>0.64331012755498695</v>
      </c>
      <c r="AL45">
        <v>1</v>
      </c>
      <c r="AM45" t="s">
        <v>33</v>
      </c>
      <c r="AN45" t="s">
        <v>33</v>
      </c>
      <c r="AO45" t="s">
        <v>33</v>
      </c>
      <c r="AP45" t="s">
        <v>33</v>
      </c>
      <c r="AQ45" t="s">
        <v>33</v>
      </c>
      <c r="AR45" t="s">
        <v>33</v>
      </c>
      <c r="AS45" t="s">
        <v>33</v>
      </c>
      <c r="AT45" t="s">
        <v>33</v>
      </c>
      <c r="AU45" t="s">
        <v>33</v>
      </c>
      <c r="AV45" t="s">
        <v>33</v>
      </c>
      <c r="AW45">
        <v>6.2700754981877702E-2</v>
      </c>
      <c r="AX45">
        <v>1</v>
      </c>
      <c r="AY45" t="s">
        <v>33</v>
      </c>
      <c r="AZ45" t="s">
        <v>33</v>
      </c>
      <c r="BA45" t="s">
        <v>33</v>
      </c>
      <c r="BB45" t="s">
        <v>33</v>
      </c>
      <c r="BC45" t="s">
        <v>33</v>
      </c>
      <c r="BD45">
        <v>0.81034482758620596</v>
      </c>
      <c r="BE45" t="s">
        <v>33</v>
      </c>
      <c r="BF45" t="s">
        <v>33</v>
      </c>
      <c r="BG45" t="s">
        <v>33</v>
      </c>
      <c r="BH45" t="s">
        <v>33</v>
      </c>
      <c r="BI45" t="s">
        <v>33</v>
      </c>
      <c r="BJ45">
        <v>0.90163934426229497</v>
      </c>
      <c r="BK45" t="s">
        <v>33</v>
      </c>
      <c r="BL45" t="s">
        <v>33</v>
      </c>
      <c r="BM45">
        <v>0.58823529411764697</v>
      </c>
      <c r="BN45">
        <v>0.89702679037412303</v>
      </c>
      <c r="BO45" t="s">
        <v>33</v>
      </c>
      <c r="BP45">
        <v>0.92090395480225895</v>
      </c>
      <c r="BQ45" t="s">
        <v>33</v>
      </c>
      <c r="BR45" t="s">
        <v>33</v>
      </c>
      <c r="BS45">
        <v>0.21109548169995901</v>
      </c>
      <c r="BT45" t="s">
        <v>33</v>
      </c>
      <c r="BU45" t="s">
        <v>33</v>
      </c>
      <c r="BV45" t="s">
        <v>33</v>
      </c>
      <c r="BW45">
        <v>0.97821694604099096</v>
      </c>
      <c r="BX45" t="s">
        <v>33</v>
      </c>
      <c r="BY45">
        <v>0.9375</v>
      </c>
      <c r="BZ45">
        <v>0.64814814814814803</v>
      </c>
      <c r="CA45" t="s">
        <v>33</v>
      </c>
      <c r="CB45" t="s">
        <v>33</v>
      </c>
      <c r="CC45" t="s">
        <v>33</v>
      </c>
      <c r="CD45" t="s">
        <v>33</v>
      </c>
      <c r="CE45" t="s">
        <v>33</v>
      </c>
      <c r="CF45">
        <v>0.99491068275511496</v>
      </c>
      <c r="CG45" t="s">
        <v>33</v>
      </c>
      <c r="CI45">
        <f t="shared" si="2"/>
        <v>0.80473380873046718</v>
      </c>
      <c r="CJ45">
        <f t="shared" si="0"/>
        <v>0.56844905917045918</v>
      </c>
      <c r="CK45">
        <f t="shared" si="1"/>
        <v>0.95671813972340969</v>
      </c>
    </row>
    <row r="46" spans="1:89" x14ac:dyDescent="0.25">
      <c r="A46" t="s">
        <v>65</v>
      </c>
      <c r="B46">
        <v>1</v>
      </c>
      <c r="C46" s="2">
        <v>10</v>
      </c>
      <c r="D46" s="2">
        <v>3</v>
      </c>
      <c r="E46" s="2">
        <v>3</v>
      </c>
      <c r="F46" s="2">
        <v>3</v>
      </c>
      <c r="G46" s="2">
        <v>3</v>
      </c>
      <c r="H46" t="s">
        <v>33</v>
      </c>
      <c r="I46" t="s">
        <v>33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33</v>
      </c>
      <c r="P46" t="s">
        <v>33</v>
      </c>
      <c r="Q46" t="s">
        <v>33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 t="s">
        <v>33</v>
      </c>
      <c r="AA46">
        <v>0.71891910283563498</v>
      </c>
      <c r="AB46" t="s">
        <v>33</v>
      </c>
      <c r="AC46" t="s">
        <v>33</v>
      </c>
      <c r="AD46" t="s">
        <v>33</v>
      </c>
      <c r="AE46" t="s">
        <v>33</v>
      </c>
      <c r="AF46" t="s">
        <v>33</v>
      </c>
      <c r="AG46" t="s">
        <v>33</v>
      </c>
      <c r="AH46" t="s">
        <v>33</v>
      </c>
      <c r="AI46" t="s">
        <v>33</v>
      </c>
      <c r="AJ46" t="s">
        <v>33</v>
      </c>
      <c r="AK46" t="s">
        <v>33</v>
      </c>
      <c r="AL46" t="s">
        <v>33</v>
      </c>
      <c r="AM46" t="s">
        <v>33</v>
      </c>
      <c r="AN46" t="s">
        <v>33</v>
      </c>
      <c r="AO46" t="s">
        <v>33</v>
      </c>
      <c r="AP46">
        <v>1</v>
      </c>
      <c r="AQ46" t="s">
        <v>33</v>
      </c>
      <c r="AR46">
        <v>0.33035714285714202</v>
      </c>
      <c r="AS46" t="s">
        <v>33</v>
      </c>
      <c r="AT46" t="s">
        <v>33</v>
      </c>
      <c r="AU46" t="s">
        <v>33</v>
      </c>
      <c r="AV46">
        <v>8.1889495576591101E-2</v>
      </c>
      <c r="AW46">
        <v>0</v>
      </c>
      <c r="AX46" t="s">
        <v>33</v>
      </c>
      <c r="AY46" t="s">
        <v>33</v>
      </c>
      <c r="AZ46" t="s">
        <v>33</v>
      </c>
      <c r="BA46" t="s">
        <v>33</v>
      </c>
      <c r="BB46" t="s">
        <v>33</v>
      </c>
      <c r="BC46" t="s">
        <v>33</v>
      </c>
      <c r="BD46" t="s">
        <v>33</v>
      </c>
      <c r="BE46" t="s">
        <v>33</v>
      </c>
      <c r="BF46">
        <v>0.48683594963475102</v>
      </c>
      <c r="BG46" t="s">
        <v>33</v>
      </c>
      <c r="BH46" t="s">
        <v>33</v>
      </c>
      <c r="BI46" t="s">
        <v>33</v>
      </c>
      <c r="BJ46" t="s">
        <v>33</v>
      </c>
      <c r="BK46" t="s">
        <v>33</v>
      </c>
      <c r="BL46" t="s">
        <v>33</v>
      </c>
      <c r="BM46" t="s">
        <v>33</v>
      </c>
      <c r="BN46" t="s">
        <v>33</v>
      </c>
      <c r="BO46" t="s">
        <v>33</v>
      </c>
      <c r="BP46" t="s">
        <v>33</v>
      </c>
      <c r="BQ46" t="s">
        <v>33</v>
      </c>
      <c r="BR46" t="s">
        <v>33</v>
      </c>
      <c r="BS46">
        <v>1</v>
      </c>
      <c r="BT46" t="s">
        <v>33</v>
      </c>
      <c r="BU46" t="s">
        <v>33</v>
      </c>
      <c r="BV46">
        <v>0.991379047759676</v>
      </c>
      <c r="BW46">
        <v>0.56088378378378301</v>
      </c>
      <c r="BX46" t="s">
        <v>33</v>
      </c>
      <c r="BY46" t="s">
        <v>33</v>
      </c>
      <c r="BZ46" t="s">
        <v>33</v>
      </c>
      <c r="CA46" t="s">
        <v>33</v>
      </c>
      <c r="CB46" t="s">
        <v>33</v>
      </c>
      <c r="CC46" t="s">
        <v>33</v>
      </c>
      <c r="CD46" t="s">
        <v>33</v>
      </c>
      <c r="CE46" t="s">
        <v>33</v>
      </c>
      <c r="CF46" t="s">
        <v>33</v>
      </c>
      <c r="CG46" t="s">
        <v>33</v>
      </c>
      <c r="CI46">
        <f t="shared" si="2"/>
        <v>0.52463812284638855</v>
      </c>
      <c r="CJ46">
        <f t="shared" si="0"/>
        <v>0.51374508904226845</v>
      </c>
      <c r="CK46">
        <f t="shared" si="1"/>
        <v>0.7761314157717295</v>
      </c>
    </row>
    <row r="47" spans="1:89" x14ac:dyDescent="0.25">
      <c r="A47" t="s">
        <v>52</v>
      </c>
      <c r="B47" t="s">
        <v>131</v>
      </c>
      <c r="H47" t="s">
        <v>33</v>
      </c>
      <c r="I47" t="s">
        <v>33</v>
      </c>
      <c r="J47" t="s">
        <v>33</v>
      </c>
      <c r="K47" t="s">
        <v>33</v>
      </c>
      <c r="L47">
        <v>0.83449478815148503</v>
      </c>
      <c r="M47">
        <v>0.97560975609756095</v>
      </c>
      <c r="N47" t="s">
        <v>33</v>
      </c>
      <c r="O47">
        <v>0.58333333333333304</v>
      </c>
      <c r="P47" t="s">
        <v>33</v>
      </c>
      <c r="Q47" t="s">
        <v>33</v>
      </c>
      <c r="R47">
        <v>0.54094987445855103</v>
      </c>
      <c r="S47" t="s">
        <v>33</v>
      </c>
      <c r="T47">
        <v>0.14393939393939301</v>
      </c>
      <c r="U47" t="s">
        <v>33</v>
      </c>
      <c r="V47" t="s">
        <v>33</v>
      </c>
      <c r="W47" t="s">
        <v>33</v>
      </c>
      <c r="X47" t="s">
        <v>33</v>
      </c>
      <c r="Y47" t="s">
        <v>33</v>
      </c>
      <c r="Z47" t="s">
        <v>33</v>
      </c>
      <c r="AA47" t="s">
        <v>33</v>
      </c>
      <c r="AB47" t="s">
        <v>33</v>
      </c>
      <c r="AC47" t="s">
        <v>33</v>
      </c>
      <c r="AD47" t="s">
        <v>33</v>
      </c>
      <c r="AE47" t="s">
        <v>33</v>
      </c>
      <c r="AF47" t="s">
        <v>33</v>
      </c>
      <c r="AG47" t="s">
        <v>33</v>
      </c>
      <c r="AH47" t="s">
        <v>33</v>
      </c>
      <c r="AI47" t="s">
        <v>33</v>
      </c>
      <c r="AJ47" t="s">
        <v>33</v>
      </c>
      <c r="AK47" t="s">
        <v>33</v>
      </c>
      <c r="AL47" t="s">
        <v>33</v>
      </c>
      <c r="AM47" t="s">
        <v>33</v>
      </c>
      <c r="AN47" t="s">
        <v>33</v>
      </c>
      <c r="AO47" t="s">
        <v>33</v>
      </c>
      <c r="AP47" t="s">
        <v>33</v>
      </c>
      <c r="AQ47" t="s">
        <v>33</v>
      </c>
      <c r="AR47" t="s">
        <v>33</v>
      </c>
      <c r="AS47" t="s">
        <v>33</v>
      </c>
      <c r="AT47" t="s">
        <v>33</v>
      </c>
      <c r="AU47" t="s">
        <v>33</v>
      </c>
      <c r="AV47" t="s">
        <v>33</v>
      </c>
      <c r="AW47" t="s">
        <v>33</v>
      </c>
      <c r="AX47" t="s">
        <v>33</v>
      </c>
      <c r="AY47" t="s">
        <v>33</v>
      </c>
      <c r="AZ47" t="s">
        <v>33</v>
      </c>
      <c r="BA47" t="s">
        <v>33</v>
      </c>
      <c r="BB47" t="s">
        <v>33</v>
      </c>
      <c r="BC47" t="s">
        <v>33</v>
      </c>
      <c r="BD47" t="s">
        <v>33</v>
      </c>
      <c r="BE47" t="s">
        <v>33</v>
      </c>
      <c r="BF47" t="s">
        <v>33</v>
      </c>
      <c r="BG47" t="s">
        <v>33</v>
      </c>
      <c r="BH47" t="s">
        <v>33</v>
      </c>
      <c r="BI47" t="s">
        <v>33</v>
      </c>
      <c r="BJ47" t="s">
        <v>33</v>
      </c>
      <c r="BK47" t="s">
        <v>33</v>
      </c>
      <c r="BL47" t="s">
        <v>33</v>
      </c>
      <c r="BM47" t="s">
        <v>33</v>
      </c>
      <c r="BN47" t="s">
        <v>33</v>
      </c>
      <c r="BO47" t="s">
        <v>33</v>
      </c>
      <c r="BP47" t="s">
        <v>33</v>
      </c>
      <c r="BQ47" t="s">
        <v>33</v>
      </c>
      <c r="BR47" t="s">
        <v>33</v>
      </c>
      <c r="BS47" t="s">
        <v>33</v>
      </c>
      <c r="BT47" t="s">
        <v>33</v>
      </c>
      <c r="BU47" t="s">
        <v>33</v>
      </c>
      <c r="BV47" t="s">
        <v>33</v>
      </c>
      <c r="BW47" t="s">
        <v>33</v>
      </c>
      <c r="BX47" t="s">
        <v>33</v>
      </c>
      <c r="BY47" t="s">
        <v>33</v>
      </c>
      <c r="BZ47" t="s">
        <v>33</v>
      </c>
      <c r="CA47" t="s">
        <v>33</v>
      </c>
      <c r="CB47" t="s">
        <v>33</v>
      </c>
      <c r="CC47" t="s">
        <v>33</v>
      </c>
      <c r="CD47" t="s">
        <v>33</v>
      </c>
      <c r="CE47" t="s">
        <v>33</v>
      </c>
      <c r="CF47" t="s">
        <v>33</v>
      </c>
      <c r="CG47" t="s">
        <v>33</v>
      </c>
      <c r="CI47">
        <f t="shared" si="2"/>
        <v>0.6156654291960646</v>
      </c>
      <c r="CJ47">
        <f t="shared" si="0"/>
        <v>0</v>
      </c>
      <c r="CK47">
        <f t="shared" si="1"/>
        <v>0</v>
      </c>
    </row>
    <row r="48" spans="1:89" x14ac:dyDescent="0.25">
      <c r="A48" t="s">
        <v>53</v>
      </c>
      <c r="B48" t="s">
        <v>131</v>
      </c>
      <c r="H48" t="s">
        <v>33</v>
      </c>
      <c r="I48" t="s">
        <v>33</v>
      </c>
      <c r="J48" t="s">
        <v>33</v>
      </c>
      <c r="K48" t="s">
        <v>33</v>
      </c>
      <c r="L48">
        <v>0.86750005737707303</v>
      </c>
      <c r="M48">
        <v>0.55555555555555503</v>
      </c>
      <c r="N48" t="s">
        <v>33</v>
      </c>
      <c r="O48" t="s">
        <v>33</v>
      </c>
      <c r="P48" t="s">
        <v>33</v>
      </c>
      <c r="Q48" t="s">
        <v>33</v>
      </c>
      <c r="R48">
        <v>0.62936106672157599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33</v>
      </c>
      <c r="Z48" t="s">
        <v>33</v>
      </c>
      <c r="AA48" t="s">
        <v>33</v>
      </c>
      <c r="AB48" t="s">
        <v>33</v>
      </c>
      <c r="AC48" t="s">
        <v>33</v>
      </c>
      <c r="AD48" t="s">
        <v>33</v>
      </c>
      <c r="AE48" t="s">
        <v>33</v>
      </c>
      <c r="AF48" t="s">
        <v>33</v>
      </c>
      <c r="AG48" t="s">
        <v>33</v>
      </c>
      <c r="AH48" t="s">
        <v>33</v>
      </c>
      <c r="AI48" t="s">
        <v>33</v>
      </c>
      <c r="AJ48" t="s">
        <v>33</v>
      </c>
      <c r="AK48" t="s">
        <v>33</v>
      </c>
      <c r="AL48" t="s">
        <v>33</v>
      </c>
      <c r="AM48" t="s">
        <v>33</v>
      </c>
      <c r="AN48" t="s">
        <v>33</v>
      </c>
      <c r="AO48" t="s">
        <v>33</v>
      </c>
      <c r="AP48" t="s">
        <v>33</v>
      </c>
      <c r="AQ48" t="s">
        <v>33</v>
      </c>
      <c r="AR48" t="s">
        <v>33</v>
      </c>
      <c r="AS48" t="s">
        <v>33</v>
      </c>
      <c r="AT48" t="s">
        <v>33</v>
      </c>
      <c r="AU48" t="s">
        <v>33</v>
      </c>
      <c r="AV48" t="s">
        <v>33</v>
      </c>
      <c r="AW48" t="s">
        <v>33</v>
      </c>
      <c r="AX48" t="s">
        <v>33</v>
      </c>
      <c r="AY48" t="s">
        <v>33</v>
      </c>
      <c r="AZ48" t="s">
        <v>33</v>
      </c>
      <c r="BA48" t="s">
        <v>33</v>
      </c>
      <c r="BB48" t="s">
        <v>33</v>
      </c>
      <c r="BC48" t="s">
        <v>33</v>
      </c>
      <c r="BD48" t="s">
        <v>33</v>
      </c>
      <c r="BE48" t="s">
        <v>33</v>
      </c>
      <c r="BF48" t="s">
        <v>33</v>
      </c>
      <c r="BG48" t="s">
        <v>33</v>
      </c>
      <c r="BH48" t="s">
        <v>33</v>
      </c>
      <c r="BI48" t="s">
        <v>33</v>
      </c>
      <c r="BJ48" t="s">
        <v>33</v>
      </c>
      <c r="BK48" t="s">
        <v>33</v>
      </c>
      <c r="BL48" t="s">
        <v>33</v>
      </c>
      <c r="BM48" t="s">
        <v>33</v>
      </c>
      <c r="BN48" t="s">
        <v>33</v>
      </c>
      <c r="BO48" t="s">
        <v>33</v>
      </c>
      <c r="BP48" t="s">
        <v>33</v>
      </c>
      <c r="BQ48" t="s">
        <v>33</v>
      </c>
      <c r="BR48" t="s">
        <v>33</v>
      </c>
      <c r="BS48" t="s">
        <v>33</v>
      </c>
      <c r="BT48" t="s">
        <v>33</v>
      </c>
      <c r="BU48" t="s">
        <v>33</v>
      </c>
      <c r="BV48" t="s">
        <v>33</v>
      </c>
      <c r="BW48" t="s">
        <v>33</v>
      </c>
      <c r="BX48" t="s">
        <v>33</v>
      </c>
      <c r="BY48" t="s">
        <v>33</v>
      </c>
      <c r="BZ48" t="s">
        <v>33</v>
      </c>
      <c r="CA48" t="s">
        <v>33</v>
      </c>
      <c r="CB48" t="s">
        <v>33</v>
      </c>
      <c r="CC48" t="s">
        <v>33</v>
      </c>
      <c r="CD48" t="s">
        <v>33</v>
      </c>
      <c r="CE48" t="s">
        <v>33</v>
      </c>
      <c r="CF48" t="s">
        <v>33</v>
      </c>
      <c r="CG48" t="s">
        <v>33</v>
      </c>
      <c r="CI48">
        <f t="shared" si="2"/>
        <v>0.68413889321806798</v>
      </c>
      <c r="CJ48">
        <f t="shared" si="0"/>
        <v>0</v>
      </c>
      <c r="CK48">
        <f t="shared" si="1"/>
        <v>0</v>
      </c>
    </row>
    <row r="49" spans="1:89" x14ac:dyDescent="0.25">
      <c r="A49" t="s">
        <v>105</v>
      </c>
      <c r="B49">
        <v>3</v>
      </c>
      <c r="H49" t="s">
        <v>33</v>
      </c>
      <c r="I49" t="s">
        <v>33</v>
      </c>
      <c r="J49" t="s">
        <v>33</v>
      </c>
      <c r="K49" t="s">
        <v>33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33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33</v>
      </c>
      <c r="Y49" t="s">
        <v>33</v>
      </c>
      <c r="Z49" t="s">
        <v>33</v>
      </c>
      <c r="AA49" t="s">
        <v>33</v>
      </c>
      <c r="AB49" t="s">
        <v>33</v>
      </c>
      <c r="AC49" t="s">
        <v>33</v>
      </c>
      <c r="AD49" t="s">
        <v>33</v>
      </c>
      <c r="AE49" t="s">
        <v>33</v>
      </c>
      <c r="AF49" t="s">
        <v>33</v>
      </c>
      <c r="AG49" t="s">
        <v>33</v>
      </c>
      <c r="AH49" t="s">
        <v>33</v>
      </c>
      <c r="AI49" t="s">
        <v>33</v>
      </c>
      <c r="AJ49" t="s">
        <v>33</v>
      </c>
      <c r="AK49" t="s">
        <v>33</v>
      </c>
      <c r="AL49" t="s">
        <v>33</v>
      </c>
      <c r="AM49" t="s">
        <v>33</v>
      </c>
      <c r="AN49" t="s">
        <v>33</v>
      </c>
      <c r="AO49" t="s">
        <v>33</v>
      </c>
      <c r="AP49" t="s">
        <v>33</v>
      </c>
      <c r="AQ49" t="s">
        <v>33</v>
      </c>
      <c r="AR49" t="s">
        <v>33</v>
      </c>
      <c r="AS49" t="s">
        <v>33</v>
      </c>
      <c r="AT49" t="s">
        <v>33</v>
      </c>
      <c r="AU49" t="s">
        <v>33</v>
      </c>
      <c r="AV49" t="s">
        <v>33</v>
      </c>
      <c r="AW49" t="s">
        <v>33</v>
      </c>
      <c r="AX49" t="s">
        <v>33</v>
      </c>
      <c r="AY49" t="s">
        <v>33</v>
      </c>
      <c r="AZ49">
        <v>0.89</v>
      </c>
      <c r="BA49" t="s">
        <v>33</v>
      </c>
      <c r="BB49">
        <v>0.96969696969696895</v>
      </c>
      <c r="BC49" t="s">
        <v>33</v>
      </c>
      <c r="BD49" t="s">
        <v>33</v>
      </c>
      <c r="BE49" t="s">
        <v>33</v>
      </c>
      <c r="BF49" t="s">
        <v>33</v>
      </c>
      <c r="BG49" t="s">
        <v>33</v>
      </c>
      <c r="BH49">
        <v>0.82666666666666599</v>
      </c>
      <c r="BI49" t="s">
        <v>33</v>
      </c>
      <c r="BJ49" t="s">
        <v>33</v>
      </c>
      <c r="BK49" t="s">
        <v>33</v>
      </c>
      <c r="BL49" t="s">
        <v>33</v>
      </c>
      <c r="BM49" t="s">
        <v>33</v>
      </c>
      <c r="BN49">
        <v>0.95653855455762604</v>
      </c>
      <c r="BO49" t="s">
        <v>33</v>
      </c>
      <c r="BP49" t="s">
        <v>33</v>
      </c>
      <c r="BQ49">
        <v>0.964429519384149</v>
      </c>
      <c r="BR49">
        <v>0.91104890595208698</v>
      </c>
      <c r="BS49" t="s">
        <v>33</v>
      </c>
      <c r="BT49">
        <v>0.97560975609756095</v>
      </c>
      <c r="BU49" t="s">
        <v>33</v>
      </c>
      <c r="BV49" t="s">
        <v>33</v>
      </c>
      <c r="BW49" t="s">
        <v>33</v>
      </c>
      <c r="BX49" t="s">
        <v>33</v>
      </c>
      <c r="BY49" t="s">
        <v>33</v>
      </c>
      <c r="BZ49" t="s">
        <v>33</v>
      </c>
      <c r="CA49" t="s">
        <v>33</v>
      </c>
      <c r="CB49">
        <v>0.44827586206896503</v>
      </c>
      <c r="CC49">
        <v>0.71428571428571397</v>
      </c>
      <c r="CD49" t="s">
        <v>33</v>
      </c>
      <c r="CE49" t="s">
        <v>33</v>
      </c>
      <c r="CF49" t="s">
        <v>33</v>
      </c>
      <c r="CG49" t="s">
        <v>33</v>
      </c>
      <c r="CI49">
        <f t="shared" si="2"/>
        <v>0.83750167426901378</v>
      </c>
      <c r="CJ49">
        <f t="shared" si="0"/>
        <v>0</v>
      </c>
      <c r="CK49">
        <f t="shared" si="1"/>
        <v>0.95653855455762604</v>
      </c>
    </row>
    <row r="50" spans="1:89" x14ac:dyDescent="0.25">
      <c r="A50" t="s">
        <v>86</v>
      </c>
      <c r="B50" t="s">
        <v>72</v>
      </c>
      <c r="C50" s="2">
        <v>6</v>
      </c>
      <c r="D50" s="2">
        <v>2</v>
      </c>
      <c r="E50" s="2">
        <v>2</v>
      </c>
      <c r="F50" s="2">
        <v>2</v>
      </c>
      <c r="G50" s="2">
        <v>2</v>
      </c>
      <c r="H50" t="s">
        <v>33</v>
      </c>
      <c r="I50">
        <v>1</v>
      </c>
      <c r="J50">
        <v>0.90909090909090895</v>
      </c>
      <c r="K50" t="s">
        <v>33</v>
      </c>
      <c r="L50" t="s">
        <v>33</v>
      </c>
      <c r="M50">
        <v>0.83333333333333304</v>
      </c>
      <c r="N50" t="s">
        <v>33</v>
      </c>
      <c r="O50">
        <v>0.90909090909090895</v>
      </c>
      <c r="P50" t="s">
        <v>33</v>
      </c>
      <c r="Q50" t="s">
        <v>33</v>
      </c>
      <c r="R50" t="s">
        <v>33</v>
      </c>
      <c r="S50" t="s">
        <v>33</v>
      </c>
      <c r="T50">
        <v>0.49776492097917202</v>
      </c>
      <c r="U50" t="s">
        <v>33</v>
      </c>
      <c r="V50" t="s">
        <v>33</v>
      </c>
      <c r="W50" t="s">
        <v>33</v>
      </c>
      <c r="X50" t="s">
        <v>33</v>
      </c>
      <c r="Y50" t="s">
        <v>33</v>
      </c>
      <c r="Z50" t="s">
        <v>33</v>
      </c>
      <c r="AA50" t="s">
        <v>33</v>
      </c>
      <c r="AB50" t="s">
        <v>33</v>
      </c>
      <c r="AC50">
        <v>1</v>
      </c>
      <c r="AD50" t="s">
        <v>33</v>
      </c>
      <c r="AE50" t="s">
        <v>33</v>
      </c>
      <c r="AF50" t="s">
        <v>33</v>
      </c>
      <c r="AG50" t="s">
        <v>33</v>
      </c>
      <c r="AH50">
        <v>0.92763157894736803</v>
      </c>
      <c r="AI50">
        <v>0.910350873748898</v>
      </c>
      <c r="AJ50" t="s">
        <v>33</v>
      </c>
      <c r="AK50" t="s">
        <v>33</v>
      </c>
      <c r="AL50">
        <v>0.113454186646611</v>
      </c>
      <c r="AM50" t="s">
        <v>33</v>
      </c>
      <c r="AN50" t="s">
        <v>33</v>
      </c>
      <c r="AO50" t="s">
        <v>33</v>
      </c>
      <c r="AP50" t="s">
        <v>33</v>
      </c>
      <c r="AQ50" t="s">
        <v>33</v>
      </c>
      <c r="AR50" t="s">
        <v>33</v>
      </c>
      <c r="AS50" t="s">
        <v>33</v>
      </c>
      <c r="AT50" t="s">
        <v>33</v>
      </c>
      <c r="AU50" t="s">
        <v>33</v>
      </c>
      <c r="AV50" t="s">
        <v>33</v>
      </c>
      <c r="AW50">
        <v>0</v>
      </c>
      <c r="AX50">
        <v>0</v>
      </c>
      <c r="AY50" t="s">
        <v>33</v>
      </c>
      <c r="AZ50" t="s">
        <v>33</v>
      </c>
      <c r="BA50" t="s">
        <v>33</v>
      </c>
      <c r="BB50" t="s">
        <v>33</v>
      </c>
      <c r="BC50">
        <v>0</v>
      </c>
      <c r="BD50" t="s">
        <v>33</v>
      </c>
      <c r="BE50">
        <v>1</v>
      </c>
      <c r="BF50">
        <v>0.21109548169995901</v>
      </c>
      <c r="BG50" t="s">
        <v>33</v>
      </c>
      <c r="BH50" t="s">
        <v>33</v>
      </c>
      <c r="BI50" t="s">
        <v>33</v>
      </c>
      <c r="BJ50">
        <v>0.76923076923076905</v>
      </c>
      <c r="BK50" t="s">
        <v>33</v>
      </c>
      <c r="BL50" t="s">
        <v>33</v>
      </c>
      <c r="BM50">
        <v>0.66666666666666596</v>
      </c>
      <c r="BN50">
        <v>0.96515086839981601</v>
      </c>
      <c r="BO50" t="s">
        <v>33</v>
      </c>
      <c r="BP50">
        <v>0.92647058823529405</v>
      </c>
      <c r="BQ50" t="s">
        <v>33</v>
      </c>
      <c r="BR50" t="s">
        <v>33</v>
      </c>
      <c r="BS50">
        <v>1</v>
      </c>
      <c r="BT50" t="s">
        <v>33</v>
      </c>
      <c r="BU50" t="s">
        <v>33</v>
      </c>
      <c r="BV50" t="s">
        <v>33</v>
      </c>
      <c r="BW50">
        <v>0.94961150389585602</v>
      </c>
      <c r="BX50" t="s">
        <v>33</v>
      </c>
      <c r="BY50">
        <v>1</v>
      </c>
      <c r="BZ50">
        <v>0.434782608695652</v>
      </c>
      <c r="CA50" t="s">
        <v>33</v>
      </c>
      <c r="CB50" t="s">
        <v>33</v>
      </c>
      <c r="CC50" t="s">
        <v>33</v>
      </c>
      <c r="CD50" t="s">
        <v>33</v>
      </c>
      <c r="CE50" t="s">
        <v>33</v>
      </c>
      <c r="CF50">
        <v>0.99559332405233003</v>
      </c>
      <c r="CG50" t="s">
        <v>33</v>
      </c>
      <c r="CI50">
        <f t="shared" si="2"/>
        <v>0.82957024292453607</v>
      </c>
      <c r="CJ50">
        <f t="shared" si="0"/>
        <v>0.33207852404951005</v>
      </c>
      <c r="CK50">
        <f t="shared" si="1"/>
        <v>0.97011856544933417</v>
      </c>
    </row>
    <row r="51" spans="1:89" x14ac:dyDescent="0.25">
      <c r="A51" t="s">
        <v>54</v>
      </c>
      <c r="B51" t="s">
        <v>131</v>
      </c>
      <c r="H51" t="s">
        <v>33</v>
      </c>
      <c r="I51" t="s">
        <v>33</v>
      </c>
      <c r="J51" t="s">
        <v>33</v>
      </c>
      <c r="K51" t="s">
        <v>33</v>
      </c>
      <c r="L51">
        <v>0.88976376797154999</v>
      </c>
      <c r="M51">
        <v>0.97560975609756095</v>
      </c>
      <c r="N51" t="s">
        <v>33</v>
      </c>
      <c r="O51" t="s">
        <v>33</v>
      </c>
      <c r="P51" t="s">
        <v>33</v>
      </c>
      <c r="Q51" t="s">
        <v>33</v>
      </c>
      <c r="R51">
        <v>0.76568653201964298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33</v>
      </c>
      <c r="Y51" t="s">
        <v>33</v>
      </c>
      <c r="Z51" t="s">
        <v>33</v>
      </c>
      <c r="AA51" t="s">
        <v>33</v>
      </c>
      <c r="AB51" t="s">
        <v>33</v>
      </c>
      <c r="AC51" t="s">
        <v>33</v>
      </c>
      <c r="AD51" t="s">
        <v>33</v>
      </c>
      <c r="AE51" t="s">
        <v>33</v>
      </c>
      <c r="AF51" t="s">
        <v>33</v>
      </c>
      <c r="AG51" t="s">
        <v>33</v>
      </c>
      <c r="AH51" t="s">
        <v>33</v>
      </c>
      <c r="AI51" t="s">
        <v>33</v>
      </c>
      <c r="AJ51" t="s">
        <v>33</v>
      </c>
      <c r="AK51" t="s">
        <v>33</v>
      </c>
      <c r="AL51" t="s">
        <v>33</v>
      </c>
      <c r="AM51" t="s">
        <v>33</v>
      </c>
      <c r="AN51" t="s">
        <v>33</v>
      </c>
      <c r="AO51" t="s">
        <v>33</v>
      </c>
      <c r="AP51" t="s">
        <v>33</v>
      </c>
      <c r="AQ51" t="s">
        <v>33</v>
      </c>
      <c r="AR51" t="s">
        <v>33</v>
      </c>
      <c r="AS51" t="s">
        <v>33</v>
      </c>
      <c r="AT51" t="s">
        <v>33</v>
      </c>
      <c r="AU51" t="s">
        <v>33</v>
      </c>
      <c r="AV51" t="s">
        <v>33</v>
      </c>
      <c r="AW51" t="s">
        <v>33</v>
      </c>
      <c r="AX51" t="s">
        <v>33</v>
      </c>
      <c r="AY51" t="s">
        <v>33</v>
      </c>
      <c r="AZ51" t="s">
        <v>33</v>
      </c>
      <c r="BA51" t="s">
        <v>33</v>
      </c>
      <c r="BB51" t="s">
        <v>33</v>
      </c>
      <c r="BC51" t="s">
        <v>33</v>
      </c>
      <c r="BD51" t="s">
        <v>33</v>
      </c>
      <c r="BE51" t="s">
        <v>33</v>
      </c>
      <c r="BF51" t="s">
        <v>33</v>
      </c>
      <c r="BG51" t="s">
        <v>33</v>
      </c>
      <c r="BH51" t="s">
        <v>33</v>
      </c>
      <c r="BI51" t="s">
        <v>33</v>
      </c>
      <c r="BJ51" t="s">
        <v>33</v>
      </c>
      <c r="BK51" t="s">
        <v>33</v>
      </c>
      <c r="BL51" t="s">
        <v>33</v>
      </c>
      <c r="BM51" t="s">
        <v>33</v>
      </c>
      <c r="BN51" t="s">
        <v>33</v>
      </c>
      <c r="BO51" t="s">
        <v>33</v>
      </c>
      <c r="BP51" t="s">
        <v>33</v>
      </c>
      <c r="BQ51" t="s">
        <v>33</v>
      </c>
      <c r="BR51" t="s">
        <v>33</v>
      </c>
      <c r="BS51" t="s">
        <v>33</v>
      </c>
      <c r="BT51" t="s">
        <v>33</v>
      </c>
      <c r="BU51" t="s">
        <v>33</v>
      </c>
      <c r="BV51" t="s">
        <v>33</v>
      </c>
      <c r="BW51" t="s">
        <v>33</v>
      </c>
      <c r="BX51" t="s">
        <v>33</v>
      </c>
      <c r="BY51" t="s">
        <v>33</v>
      </c>
      <c r="BZ51" t="s">
        <v>33</v>
      </c>
      <c r="CA51" t="s">
        <v>33</v>
      </c>
      <c r="CB51" t="s">
        <v>33</v>
      </c>
      <c r="CC51" t="s">
        <v>33</v>
      </c>
      <c r="CD51" t="s">
        <v>33</v>
      </c>
      <c r="CE51" t="s">
        <v>33</v>
      </c>
      <c r="CF51" t="s">
        <v>33</v>
      </c>
      <c r="CG51" t="s">
        <v>33</v>
      </c>
      <c r="CI51">
        <f t="shared" si="2"/>
        <v>0.87702001869625124</v>
      </c>
      <c r="CJ51">
        <f t="shared" si="0"/>
        <v>0</v>
      </c>
      <c r="CK51">
        <f t="shared" si="1"/>
        <v>0</v>
      </c>
    </row>
    <row r="52" spans="1:89" x14ac:dyDescent="0.25">
      <c r="A52" t="s">
        <v>55</v>
      </c>
      <c r="B52" t="s">
        <v>131</v>
      </c>
      <c r="H52" t="s">
        <v>33</v>
      </c>
      <c r="I52" t="s">
        <v>33</v>
      </c>
      <c r="J52" t="s">
        <v>33</v>
      </c>
      <c r="K52" t="s">
        <v>33</v>
      </c>
      <c r="L52" t="s">
        <v>33</v>
      </c>
      <c r="M52" t="s">
        <v>33</v>
      </c>
      <c r="N52" t="s">
        <v>33</v>
      </c>
      <c r="O52">
        <v>7.5040783034257694E-2</v>
      </c>
      <c r="P52" t="s">
        <v>33</v>
      </c>
      <c r="Q52" t="s">
        <v>33</v>
      </c>
      <c r="R52">
        <v>0.60796758613998103</v>
      </c>
      <c r="S52" t="s">
        <v>33</v>
      </c>
      <c r="T52">
        <v>0.209302325581395</v>
      </c>
      <c r="U52" t="s">
        <v>33</v>
      </c>
      <c r="V52" t="s">
        <v>33</v>
      </c>
      <c r="W52" t="s">
        <v>33</v>
      </c>
      <c r="X52" t="s">
        <v>33</v>
      </c>
      <c r="Y52" t="s">
        <v>33</v>
      </c>
      <c r="Z52" t="s">
        <v>33</v>
      </c>
      <c r="AA52" t="s">
        <v>33</v>
      </c>
      <c r="AB52" t="s">
        <v>33</v>
      </c>
      <c r="AC52" t="s">
        <v>33</v>
      </c>
      <c r="AD52" t="s">
        <v>33</v>
      </c>
      <c r="AE52" t="s">
        <v>33</v>
      </c>
      <c r="AF52" t="s">
        <v>33</v>
      </c>
      <c r="AG52" t="s">
        <v>33</v>
      </c>
      <c r="AH52" t="s">
        <v>33</v>
      </c>
      <c r="AI52" t="s">
        <v>33</v>
      </c>
      <c r="AJ52" t="s">
        <v>33</v>
      </c>
      <c r="AK52" t="s">
        <v>33</v>
      </c>
      <c r="AL52" t="s">
        <v>33</v>
      </c>
      <c r="AM52" t="s">
        <v>33</v>
      </c>
      <c r="AN52" t="s">
        <v>33</v>
      </c>
      <c r="AO52" t="s">
        <v>33</v>
      </c>
      <c r="AP52" t="s">
        <v>33</v>
      </c>
      <c r="AQ52" t="s">
        <v>33</v>
      </c>
      <c r="AR52" t="s">
        <v>33</v>
      </c>
      <c r="AS52" t="s">
        <v>33</v>
      </c>
      <c r="AT52" t="s">
        <v>33</v>
      </c>
      <c r="AU52" t="s">
        <v>33</v>
      </c>
      <c r="AV52" t="s">
        <v>33</v>
      </c>
      <c r="AW52" t="s">
        <v>33</v>
      </c>
      <c r="AX52" t="s">
        <v>33</v>
      </c>
      <c r="AY52" t="s">
        <v>33</v>
      </c>
      <c r="AZ52" t="s">
        <v>33</v>
      </c>
      <c r="BA52" t="s">
        <v>33</v>
      </c>
      <c r="BB52" t="s">
        <v>33</v>
      </c>
      <c r="BC52" t="s">
        <v>33</v>
      </c>
      <c r="BD52" t="s">
        <v>33</v>
      </c>
      <c r="BE52" t="s">
        <v>33</v>
      </c>
      <c r="BF52" t="s">
        <v>33</v>
      </c>
      <c r="BG52" t="s">
        <v>33</v>
      </c>
      <c r="BH52" t="s">
        <v>33</v>
      </c>
      <c r="BI52" t="s">
        <v>33</v>
      </c>
      <c r="BJ52" t="s">
        <v>33</v>
      </c>
      <c r="BK52" t="s">
        <v>33</v>
      </c>
      <c r="BL52" t="s">
        <v>33</v>
      </c>
      <c r="BM52" t="s">
        <v>33</v>
      </c>
      <c r="BN52" t="s">
        <v>33</v>
      </c>
      <c r="BO52" t="s">
        <v>33</v>
      </c>
      <c r="BP52" t="s">
        <v>33</v>
      </c>
      <c r="BQ52" t="s">
        <v>33</v>
      </c>
      <c r="BR52" t="s">
        <v>33</v>
      </c>
      <c r="BS52" t="s">
        <v>33</v>
      </c>
      <c r="BT52" t="s">
        <v>33</v>
      </c>
      <c r="BU52" t="s">
        <v>33</v>
      </c>
      <c r="BV52" t="s">
        <v>33</v>
      </c>
      <c r="BW52" t="s">
        <v>33</v>
      </c>
      <c r="BX52" t="s">
        <v>33</v>
      </c>
      <c r="BY52" t="s">
        <v>33</v>
      </c>
      <c r="BZ52" t="s">
        <v>33</v>
      </c>
      <c r="CA52" t="s">
        <v>33</v>
      </c>
      <c r="CB52" t="s">
        <v>33</v>
      </c>
      <c r="CC52" t="s">
        <v>33</v>
      </c>
      <c r="CD52" t="s">
        <v>33</v>
      </c>
      <c r="CE52" t="s">
        <v>33</v>
      </c>
      <c r="CF52" t="s">
        <v>33</v>
      </c>
      <c r="CG52" t="s">
        <v>33</v>
      </c>
      <c r="CI52">
        <f t="shared" si="2"/>
        <v>0.29743689825187786</v>
      </c>
      <c r="CJ52">
        <f t="shared" si="0"/>
        <v>0</v>
      </c>
      <c r="CK52">
        <f t="shared" si="1"/>
        <v>0</v>
      </c>
    </row>
    <row r="53" spans="1:89" x14ac:dyDescent="0.25">
      <c r="A53" t="s">
        <v>106</v>
      </c>
      <c r="B53">
        <v>3</v>
      </c>
      <c r="H53" t="s">
        <v>33</v>
      </c>
      <c r="I53" t="s">
        <v>33</v>
      </c>
      <c r="J53" t="s">
        <v>33</v>
      </c>
      <c r="K53" t="s">
        <v>33</v>
      </c>
      <c r="L53" t="s">
        <v>33</v>
      </c>
      <c r="M53" t="s">
        <v>33</v>
      </c>
      <c r="N53" t="s">
        <v>33</v>
      </c>
      <c r="O53" t="s">
        <v>33</v>
      </c>
      <c r="P53" t="s">
        <v>33</v>
      </c>
      <c r="Q53" t="s">
        <v>33</v>
      </c>
      <c r="R53" t="s">
        <v>33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33</v>
      </c>
      <c r="Y53" t="s">
        <v>33</v>
      </c>
      <c r="Z53" t="s">
        <v>33</v>
      </c>
      <c r="AA53" t="s">
        <v>33</v>
      </c>
      <c r="AB53" t="s">
        <v>33</v>
      </c>
      <c r="AC53" t="s">
        <v>33</v>
      </c>
      <c r="AD53" t="s">
        <v>33</v>
      </c>
      <c r="AE53" t="s">
        <v>33</v>
      </c>
      <c r="AF53" t="s">
        <v>33</v>
      </c>
      <c r="AG53" t="s">
        <v>33</v>
      </c>
      <c r="AH53" t="s">
        <v>33</v>
      </c>
      <c r="AI53" t="s">
        <v>33</v>
      </c>
      <c r="AJ53" t="s">
        <v>33</v>
      </c>
      <c r="AK53" t="s">
        <v>33</v>
      </c>
      <c r="AL53" t="s">
        <v>33</v>
      </c>
      <c r="AM53" t="s">
        <v>33</v>
      </c>
      <c r="AN53" t="s">
        <v>33</v>
      </c>
      <c r="AO53" t="s">
        <v>33</v>
      </c>
      <c r="AP53" t="s">
        <v>33</v>
      </c>
      <c r="AQ53" t="s">
        <v>33</v>
      </c>
      <c r="AR53" t="s">
        <v>33</v>
      </c>
      <c r="AS53" t="s">
        <v>33</v>
      </c>
      <c r="AT53" t="s">
        <v>33</v>
      </c>
      <c r="AU53" t="s">
        <v>33</v>
      </c>
      <c r="AV53" t="s">
        <v>33</v>
      </c>
      <c r="AW53" t="s">
        <v>33</v>
      </c>
      <c r="AX53" t="s">
        <v>33</v>
      </c>
      <c r="AY53" t="s">
        <v>33</v>
      </c>
      <c r="AZ53">
        <v>0.91228070175438503</v>
      </c>
      <c r="BA53" t="s">
        <v>33</v>
      </c>
      <c r="BB53">
        <v>0.92857142857142805</v>
      </c>
      <c r="BC53" t="s">
        <v>33</v>
      </c>
      <c r="BD53" t="s">
        <v>33</v>
      </c>
      <c r="BE53" t="s">
        <v>33</v>
      </c>
      <c r="BF53" t="s">
        <v>33</v>
      </c>
      <c r="BG53" t="s">
        <v>33</v>
      </c>
      <c r="BH53">
        <v>0.88679245283018804</v>
      </c>
      <c r="BI53" t="s">
        <v>33</v>
      </c>
      <c r="BJ53" t="s">
        <v>33</v>
      </c>
      <c r="BK53" t="s">
        <v>33</v>
      </c>
      <c r="BL53" t="s">
        <v>33</v>
      </c>
      <c r="BM53" t="s">
        <v>33</v>
      </c>
      <c r="BN53">
        <v>0.99205397061770695</v>
      </c>
      <c r="BO53" t="s">
        <v>33</v>
      </c>
      <c r="BP53" t="s">
        <v>33</v>
      </c>
      <c r="BQ53">
        <v>0.93277310924369705</v>
      </c>
      <c r="BR53">
        <v>0.69004212653100105</v>
      </c>
      <c r="BS53" t="s">
        <v>33</v>
      </c>
      <c r="BT53">
        <v>0.97202797202797198</v>
      </c>
      <c r="BU53" t="s">
        <v>33</v>
      </c>
      <c r="BV53" t="s">
        <v>33</v>
      </c>
      <c r="BW53" t="s">
        <v>33</v>
      </c>
      <c r="BX53" t="s">
        <v>33</v>
      </c>
      <c r="BY53" t="s">
        <v>33</v>
      </c>
      <c r="BZ53" t="s">
        <v>33</v>
      </c>
      <c r="CA53" t="s">
        <v>33</v>
      </c>
      <c r="CB53">
        <v>0.71428571428571397</v>
      </c>
      <c r="CC53" t="s">
        <v>33</v>
      </c>
      <c r="CD53">
        <v>0.78571428571428503</v>
      </c>
      <c r="CE53" t="s">
        <v>33</v>
      </c>
      <c r="CF53" t="s">
        <v>33</v>
      </c>
      <c r="CG53" t="s">
        <v>33</v>
      </c>
      <c r="CI53">
        <f t="shared" si="2"/>
        <v>0.85281097386983384</v>
      </c>
      <c r="CJ53">
        <f t="shared" si="0"/>
        <v>0</v>
      </c>
      <c r="CK53">
        <f t="shared" si="1"/>
        <v>0.99205397061770695</v>
      </c>
    </row>
    <row r="54" spans="1:89" x14ac:dyDescent="0.25">
      <c r="A54" t="s">
        <v>93</v>
      </c>
      <c r="B54" t="s">
        <v>87</v>
      </c>
      <c r="H54" t="s">
        <v>33</v>
      </c>
      <c r="I54" t="s">
        <v>33</v>
      </c>
      <c r="J54" t="s">
        <v>33</v>
      </c>
      <c r="K54" t="s">
        <v>33</v>
      </c>
      <c r="L54" t="s">
        <v>33</v>
      </c>
      <c r="M54" t="s">
        <v>33</v>
      </c>
      <c r="N54" t="s">
        <v>33</v>
      </c>
      <c r="O54" t="s">
        <v>33</v>
      </c>
      <c r="P54" t="s">
        <v>33</v>
      </c>
      <c r="Q54" t="s">
        <v>33</v>
      </c>
      <c r="R54" t="s">
        <v>33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33</v>
      </c>
      <c r="Y54" t="s">
        <v>33</v>
      </c>
      <c r="Z54" t="s">
        <v>33</v>
      </c>
      <c r="AA54" t="s">
        <v>33</v>
      </c>
      <c r="AB54" t="s">
        <v>33</v>
      </c>
      <c r="AC54" t="s">
        <v>33</v>
      </c>
      <c r="AD54" t="s">
        <v>33</v>
      </c>
      <c r="AE54" t="s">
        <v>33</v>
      </c>
      <c r="AF54" t="s">
        <v>33</v>
      </c>
      <c r="AG54" t="s">
        <v>33</v>
      </c>
      <c r="AH54" t="s">
        <v>33</v>
      </c>
      <c r="AI54" t="s">
        <v>33</v>
      </c>
      <c r="AJ54">
        <v>0.87859343960942504</v>
      </c>
      <c r="AK54" t="s">
        <v>33</v>
      </c>
      <c r="AL54" t="s">
        <v>33</v>
      </c>
      <c r="AM54" t="s">
        <v>33</v>
      </c>
      <c r="AN54" t="s">
        <v>33</v>
      </c>
      <c r="AO54" t="s">
        <v>33</v>
      </c>
      <c r="AP54" t="s">
        <v>33</v>
      </c>
      <c r="AQ54" t="s">
        <v>33</v>
      </c>
      <c r="AR54" t="s">
        <v>33</v>
      </c>
      <c r="AS54" t="s">
        <v>33</v>
      </c>
      <c r="AT54" t="s">
        <v>33</v>
      </c>
      <c r="AU54" t="s">
        <v>33</v>
      </c>
      <c r="AV54" t="s">
        <v>33</v>
      </c>
      <c r="AW54" t="s">
        <v>33</v>
      </c>
      <c r="AX54" t="s">
        <v>33</v>
      </c>
      <c r="AY54" t="s">
        <v>33</v>
      </c>
      <c r="AZ54" t="s">
        <v>33</v>
      </c>
      <c r="BA54" t="s">
        <v>33</v>
      </c>
      <c r="BB54" t="s">
        <v>33</v>
      </c>
      <c r="BC54" t="s">
        <v>33</v>
      </c>
      <c r="BD54" t="s">
        <v>33</v>
      </c>
      <c r="BE54" t="s">
        <v>33</v>
      </c>
      <c r="BF54" t="s">
        <v>33</v>
      </c>
      <c r="BG54" t="s">
        <v>33</v>
      </c>
      <c r="BH54" t="s">
        <v>33</v>
      </c>
      <c r="BI54" t="s">
        <v>33</v>
      </c>
      <c r="BJ54">
        <v>0.55555555555555503</v>
      </c>
      <c r="BK54">
        <v>0.837380595976982</v>
      </c>
      <c r="BL54">
        <v>0.99288232187652803</v>
      </c>
      <c r="BM54" t="s">
        <v>33</v>
      </c>
      <c r="BN54">
        <v>0.68958333333333299</v>
      </c>
      <c r="BO54" t="s">
        <v>33</v>
      </c>
      <c r="BP54" t="s">
        <v>33</v>
      </c>
      <c r="BQ54" t="s">
        <v>33</v>
      </c>
      <c r="BR54" t="s">
        <v>33</v>
      </c>
      <c r="BS54" t="s">
        <v>33</v>
      </c>
      <c r="BT54" t="s">
        <v>33</v>
      </c>
      <c r="BU54">
        <v>0.67436626951307299</v>
      </c>
      <c r="BV54">
        <v>0.52492167898894204</v>
      </c>
      <c r="BW54" t="s">
        <v>33</v>
      </c>
      <c r="BX54">
        <v>0.78062015503875903</v>
      </c>
      <c r="BY54">
        <v>1</v>
      </c>
      <c r="BZ54">
        <v>1</v>
      </c>
      <c r="CA54" t="s">
        <v>33</v>
      </c>
      <c r="CB54" t="s">
        <v>33</v>
      </c>
      <c r="CC54" t="s">
        <v>33</v>
      </c>
      <c r="CD54" t="s">
        <v>33</v>
      </c>
      <c r="CE54">
        <v>0.92770396130850896</v>
      </c>
      <c r="CF54">
        <v>0.987920984524715</v>
      </c>
      <c r="CG54" t="s">
        <v>33</v>
      </c>
      <c r="CI54">
        <f t="shared" si="2"/>
        <v>0.85853724879124504</v>
      </c>
      <c r="CJ54">
        <f t="shared" si="0"/>
        <v>0</v>
      </c>
      <c r="CK54">
        <f t="shared" si="1"/>
        <v>0.80192241257010521</v>
      </c>
    </row>
    <row r="55" spans="1:89" x14ac:dyDescent="0.25">
      <c r="A55" t="s">
        <v>49</v>
      </c>
      <c r="B55">
        <v>1</v>
      </c>
      <c r="C55" s="2">
        <v>10</v>
      </c>
      <c r="D55" s="2">
        <v>3</v>
      </c>
      <c r="E55" s="2">
        <v>3</v>
      </c>
      <c r="F55" s="2">
        <v>3</v>
      </c>
      <c r="G55" s="2">
        <v>3</v>
      </c>
      <c r="H55" t="s">
        <v>33</v>
      </c>
      <c r="I55" t="s">
        <v>33</v>
      </c>
      <c r="J55" t="s">
        <v>33</v>
      </c>
      <c r="K55" t="s">
        <v>33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33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33</v>
      </c>
      <c r="Y55" t="s">
        <v>33</v>
      </c>
      <c r="Z55" t="s">
        <v>33</v>
      </c>
      <c r="AA55" t="s">
        <v>33</v>
      </c>
      <c r="AB55" t="s">
        <v>33</v>
      </c>
      <c r="AC55" t="s">
        <v>33</v>
      </c>
      <c r="AD55" t="s">
        <v>33</v>
      </c>
      <c r="AE55" t="s">
        <v>33</v>
      </c>
      <c r="AF55" t="s">
        <v>33</v>
      </c>
      <c r="AG55" t="s">
        <v>33</v>
      </c>
      <c r="AH55" t="s">
        <v>33</v>
      </c>
      <c r="AI55" t="s">
        <v>33</v>
      </c>
      <c r="AJ55" t="s">
        <v>33</v>
      </c>
      <c r="AK55" t="s">
        <v>33</v>
      </c>
      <c r="AL55" t="s">
        <v>33</v>
      </c>
      <c r="AM55" t="s">
        <v>33</v>
      </c>
      <c r="AN55" t="s">
        <v>33</v>
      </c>
      <c r="AO55">
        <v>1</v>
      </c>
      <c r="AP55" t="s">
        <v>33</v>
      </c>
      <c r="AQ55" t="s">
        <v>33</v>
      </c>
      <c r="AR55">
        <v>0.41935483870967699</v>
      </c>
      <c r="AS55" t="s">
        <v>33</v>
      </c>
      <c r="AT55" t="s">
        <v>33</v>
      </c>
      <c r="AU55" t="s">
        <v>33</v>
      </c>
      <c r="AV55">
        <v>0</v>
      </c>
      <c r="AW55">
        <v>0</v>
      </c>
      <c r="AX55" t="s">
        <v>33</v>
      </c>
      <c r="AY55" t="s">
        <v>33</v>
      </c>
      <c r="AZ55" t="s">
        <v>33</v>
      </c>
      <c r="BA55" t="s">
        <v>33</v>
      </c>
      <c r="BB55" t="s">
        <v>33</v>
      </c>
      <c r="BC55" t="s">
        <v>33</v>
      </c>
      <c r="BD55" t="s">
        <v>33</v>
      </c>
      <c r="BE55" t="s">
        <v>33</v>
      </c>
      <c r="BF55">
        <v>0</v>
      </c>
      <c r="BG55" t="s">
        <v>33</v>
      </c>
      <c r="BH55" t="s">
        <v>33</v>
      </c>
      <c r="BI55" t="s">
        <v>33</v>
      </c>
      <c r="BJ55" t="s">
        <v>33</v>
      </c>
      <c r="BK55" t="s">
        <v>33</v>
      </c>
      <c r="BL55" t="s">
        <v>33</v>
      </c>
      <c r="BM55" t="s">
        <v>33</v>
      </c>
      <c r="BN55" t="s">
        <v>33</v>
      </c>
      <c r="BO55" t="s">
        <v>33</v>
      </c>
      <c r="BP55" t="s">
        <v>33</v>
      </c>
      <c r="BQ55" t="s">
        <v>33</v>
      </c>
      <c r="BR55" t="s">
        <v>33</v>
      </c>
      <c r="BS55">
        <v>1</v>
      </c>
      <c r="BT55" t="s">
        <v>33</v>
      </c>
      <c r="BU55" t="s">
        <v>33</v>
      </c>
      <c r="BV55">
        <v>0.92489908205470395</v>
      </c>
      <c r="BW55">
        <v>0.52379999999999904</v>
      </c>
      <c r="BX55" t="s">
        <v>33</v>
      </c>
      <c r="BY55" t="s">
        <v>33</v>
      </c>
      <c r="BZ55" t="s">
        <v>33</v>
      </c>
      <c r="CA55" t="s">
        <v>33</v>
      </c>
      <c r="CB55" t="s">
        <v>33</v>
      </c>
      <c r="CC55" t="s">
        <v>33</v>
      </c>
      <c r="CD55" t="s">
        <v>33</v>
      </c>
      <c r="CE55" t="s">
        <v>33</v>
      </c>
      <c r="CF55" t="s">
        <v>33</v>
      </c>
      <c r="CG55" t="s">
        <v>33</v>
      </c>
      <c r="CI55">
        <f t="shared" si="2"/>
        <v>0.70967741935483852</v>
      </c>
      <c r="CJ55">
        <f t="shared" si="0"/>
        <v>0.25</v>
      </c>
      <c r="CK55">
        <f t="shared" si="1"/>
        <v>0.7243495410273515</v>
      </c>
    </row>
    <row r="56" spans="1:89" x14ac:dyDescent="0.25">
      <c r="A56" t="s">
        <v>123</v>
      </c>
      <c r="B56">
        <v>1</v>
      </c>
      <c r="C56" s="2">
        <v>10</v>
      </c>
      <c r="D56" s="2">
        <v>3</v>
      </c>
      <c r="E56" s="2">
        <v>3</v>
      </c>
      <c r="F56" s="2">
        <v>3</v>
      </c>
      <c r="G56" s="2">
        <v>3</v>
      </c>
      <c r="H56" t="s">
        <v>33</v>
      </c>
      <c r="I56" t="s">
        <v>33</v>
      </c>
      <c r="J56" t="s">
        <v>33</v>
      </c>
      <c r="K56" t="s">
        <v>33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33</v>
      </c>
      <c r="Y56" t="s">
        <v>33</v>
      </c>
      <c r="Z56" t="s">
        <v>33</v>
      </c>
      <c r="AA56" t="s">
        <v>33</v>
      </c>
      <c r="AB56" t="s">
        <v>33</v>
      </c>
      <c r="AC56" t="s">
        <v>33</v>
      </c>
      <c r="AD56" t="s">
        <v>33</v>
      </c>
      <c r="AE56" t="s">
        <v>33</v>
      </c>
      <c r="AF56" t="s">
        <v>33</v>
      </c>
      <c r="AG56" t="s">
        <v>33</v>
      </c>
      <c r="AH56" t="s">
        <v>33</v>
      </c>
      <c r="AI56" t="s">
        <v>33</v>
      </c>
      <c r="AJ56" t="s">
        <v>33</v>
      </c>
      <c r="AK56" t="s">
        <v>33</v>
      </c>
      <c r="AL56" t="s">
        <v>33</v>
      </c>
      <c r="AM56" t="s">
        <v>33</v>
      </c>
      <c r="AN56" t="s">
        <v>33</v>
      </c>
      <c r="AO56" t="s">
        <v>33</v>
      </c>
      <c r="AP56" t="s">
        <v>33</v>
      </c>
      <c r="AQ56" t="s">
        <v>33</v>
      </c>
      <c r="AR56">
        <v>0.75862068965517204</v>
      </c>
      <c r="AS56" t="s">
        <v>33</v>
      </c>
      <c r="AT56" t="s">
        <v>33</v>
      </c>
      <c r="AU56" t="s">
        <v>33</v>
      </c>
      <c r="AV56">
        <v>0.44528931866219201</v>
      </c>
      <c r="AW56">
        <v>0.192147252263734</v>
      </c>
      <c r="AX56" t="s">
        <v>33</v>
      </c>
      <c r="AY56" t="s">
        <v>33</v>
      </c>
      <c r="AZ56" t="s">
        <v>33</v>
      </c>
      <c r="BA56" t="s">
        <v>33</v>
      </c>
      <c r="BB56" t="s">
        <v>33</v>
      </c>
      <c r="BC56" t="s">
        <v>33</v>
      </c>
      <c r="BD56" t="s">
        <v>33</v>
      </c>
      <c r="BE56" t="s">
        <v>33</v>
      </c>
      <c r="BF56">
        <v>0</v>
      </c>
      <c r="BG56" t="s">
        <v>33</v>
      </c>
      <c r="BH56" t="s">
        <v>33</v>
      </c>
      <c r="BI56" t="s">
        <v>33</v>
      </c>
      <c r="BJ56" t="s">
        <v>33</v>
      </c>
      <c r="BK56" t="s">
        <v>33</v>
      </c>
      <c r="BL56" t="s">
        <v>33</v>
      </c>
      <c r="BM56" t="s">
        <v>33</v>
      </c>
      <c r="BN56" t="s">
        <v>33</v>
      </c>
      <c r="BO56" t="s">
        <v>33</v>
      </c>
      <c r="BP56" t="s">
        <v>33</v>
      </c>
      <c r="BQ56" t="s">
        <v>33</v>
      </c>
      <c r="BR56" t="s">
        <v>33</v>
      </c>
      <c r="BS56" t="s">
        <v>33</v>
      </c>
      <c r="BT56" t="s">
        <v>33</v>
      </c>
      <c r="BU56" t="s">
        <v>33</v>
      </c>
      <c r="BV56">
        <v>0.96065147388476801</v>
      </c>
      <c r="BW56">
        <v>0.64305352564102503</v>
      </c>
      <c r="BX56" t="s">
        <v>33</v>
      </c>
      <c r="BY56" t="s">
        <v>33</v>
      </c>
      <c r="BZ56" t="s">
        <v>33</v>
      </c>
      <c r="CA56" t="s">
        <v>33</v>
      </c>
      <c r="CB56" t="s">
        <v>33</v>
      </c>
      <c r="CC56" t="s">
        <v>33</v>
      </c>
      <c r="CD56" t="s">
        <v>33</v>
      </c>
      <c r="CE56" t="s">
        <v>33</v>
      </c>
      <c r="CF56" t="s">
        <v>33</v>
      </c>
      <c r="CG56" t="s">
        <v>33</v>
      </c>
      <c r="CI56">
        <f t="shared" si="2"/>
        <v>0.75862068965517204</v>
      </c>
      <c r="CJ56">
        <f t="shared" si="0"/>
        <v>0.21247885697530866</v>
      </c>
      <c r="CK56">
        <f t="shared" si="1"/>
        <v>0.80185249976289652</v>
      </c>
    </row>
    <row r="57" spans="1:89" x14ac:dyDescent="0.25">
      <c r="A57" t="s">
        <v>122</v>
      </c>
      <c r="B57">
        <v>1</v>
      </c>
      <c r="C57" s="2">
        <v>10</v>
      </c>
      <c r="D57" s="2">
        <v>2</v>
      </c>
      <c r="E57" s="2">
        <v>3</v>
      </c>
      <c r="F57" s="2">
        <v>3</v>
      </c>
      <c r="G57" s="2">
        <v>3</v>
      </c>
      <c r="H57" t="s">
        <v>33</v>
      </c>
      <c r="I57" t="s">
        <v>33</v>
      </c>
      <c r="J57" t="s">
        <v>33</v>
      </c>
      <c r="K57" t="s">
        <v>33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33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33</v>
      </c>
      <c r="Y57" t="s">
        <v>33</v>
      </c>
      <c r="Z57" t="s">
        <v>33</v>
      </c>
      <c r="AA57">
        <v>0.60010561507055205</v>
      </c>
      <c r="AB57" t="s">
        <v>33</v>
      </c>
      <c r="AC57" t="s">
        <v>33</v>
      </c>
      <c r="AD57" t="s">
        <v>33</v>
      </c>
      <c r="AE57" t="s">
        <v>33</v>
      </c>
      <c r="AF57" t="s">
        <v>33</v>
      </c>
      <c r="AG57" t="s">
        <v>33</v>
      </c>
      <c r="AH57" t="s">
        <v>33</v>
      </c>
      <c r="AI57" t="s">
        <v>33</v>
      </c>
      <c r="AJ57" t="s">
        <v>33</v>
      </c>
      <c r="AK57" t="s">
        <v>33</v>
      </c>
      <c r="AL57" t="s">
        <v>33</v>
      </c>
      <c r="AM57" t="s">
        <v>33</v>
      </c>
      <c r="AN57" t="s">
        <v>33</v>
      </c>
      <c r="AO57" t="s">
        <v>33</v>
      </c>
      <c r="AP57" t="s">
        <v>33</v>
      </c>
      <c r="AQ57" t="s">
        <v>33</v>
      </c>
      <c r="AR57" t="s">
        <v>33</v>
      </c>
      <c r="AS57" t="s">
        <v>33</v>
      </c>
      <c r="AT57">
        <v>1</v>
      </c>
      <c r="AU57" t="s">
        <v>33</v>
      </c>
      <c r="AV57">
        <v>1</v>
      </c>
      <c r="AW57" t="s">
        <v>33</v>
      </c>
      <c r="AX57" t="s">
        <v>33</v>
      </c>
      <c r="AY57" t="s">
        <v>33</v>
      </c>
      <c r="AZ57" t="s">
        <v>33</v>
      </c>
      <c r="BA57" t="s">
        <v>33</v>
      </c>
      <c r="BB57" t="s">
        <v>33</v>
      </c>
      <c r="BC57" t="s">
        <v>33</v>
      </c>
      <c r="BD57" t="s">
        <v>33</v>
      </c>
      <c r="BE57" t="s">
        <v>33</v>
      </c>
      <c r="BF57">
        <v>0.21109548169995901</v>
      </c>
      <c r="BG57" t="s">
        <v>33</v>
      </c>
      <c r="BH57" t="s">
        <v>33</v>
      </c>
      <c r="BI57" t="s">
        <v>33</v>
      </c>
      <c r="BJ57" t="s">
        <v>33</v>
      </c>
      <c r="BK57" t="s">
        <v>33</v>
      </c>
      <c r="BL57" t="s">
        <v>33</v>
      </c>
      <c r="BM57" t="s">
        <v>33</v>
      </c>
      <c r="BN57" t="s">
        <v>33</v>
      </c>
      <c r="BO57" t="s">
        <v>33</v>
      </c>
      <c r="BP57" t="s">
        <v>33</v>
      </c>
      <c r="BQ57" t="s">
        <v>33</v>
      </c>
      <c r="BR57" t="s">
        <v>33</v>
      </c>
      <c r="BS57" t="s">
        <v>33</v>
      </c>
      <c r="BT57" t="s">
        <v>33</v>
      </c>
      <c r="BU57" t="s">
        <v>33</v>
      </c>
      <c r="BV57">
        <v>0.62955463817307999</v>
      </c>
      <c r="BW57">
        <v>0.58960344827586197</v>
      </c>
      <c r="BX57" t="s">
        <v>33</v>
      </c>
      <c r="BY57" t="s">
        <v>33</v>
      </c>
      <c r="BZ57" t="s">
        <v>33</v>
      </c>
      <c r="CA57" t="s">
        <v>33</v>
      </c>
      <c r="CB57" t="s">
        <v>33</v>
      </c>
      <c r="CC57" t="s">
        <v>33</v>
      </c>
      <c r="CD57" t="s">
        <v>33</v>
      </c>
      <c r="CE57" t="s">
        <v>33</v>
      </c>
      <c r="CF57" t="s">
        <v>33</v>
      </c>
      <c r="CG57" t="s">
        <v>33</v>
      </c>
      <c r="CI57">
        <f t="shared" si="2"/>
        <v>0.60010561507055205</v>
      </c>
      <c r="CJ57">
        <f t="shared" si="0"/>
        <v>0.73703182723331973</v>
      </c>
      <c r="CK57">
        <f t="shared" si="1"/>
        <v>0.60957904322447098</v>
      </c>
    </row>
    <row r="58" spans="1:89" x14ac:dyDescent="0.25">
      <c r="A58" t="s">
        <v>107</v>
      </c>
      <c r="B58">
        <v>3</v>
      </c>
      <c r="H58" t="s">
        <v>33</v>
      </c>
      <c r="I58" t="s">
        <v>33</v>
      </c>
      <c r="J58" t="s">
        <v>33</v>
      </c>
      <c r="K58" t="s">
        <v>33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33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33</v>
      </c>
      <c r="Z58" t="s">
        <v>33</v>
      </c>
      <c r="AA58" t="s">
        <v>33</v>
      </c>
      <c r="AB58" t="s">
        <v>33</v>
      </c>
      <c r="AC58" t="s">
        <v>33</v>
      </c>
      <c r="AD58" t="s">
        <v>33</v>
      </c>
      <c r="AE58" t="s">
        <v>33</v>
      </c>
      <c r="AF58" t="s">
        <v>33</v>
      </c>
      <c r="AG58" t="s">
        <v>33</v>
      </c>
      <c r="AH58" t="s">
        <v>33</v>
      </c>
      <c r="AI58" t="s">
        <v>33</v>
      </c>
      <c r="AJ58" t="s">
        <v>33</v>
      </c>
      <c r="AK58" t="s">
        <v>33</v>
      </c>
      <c r="AL58" t="s">
        <v>33</v>
      </c>
      <c r="AM58" t="s">
        <v>33</v>
      </c>
      <c r="AN58" t="s">
        <v>33</v>
      </c>
      <c r="AO58" t="s">
        <v>33</v>
      </c>
      <c r="AP58" t="s">
        <v>33</v>
      </c>
      <c r="AQ58" t="s">
        <v>33</v>
      </c>
      <c r="AR58" t="s">
        <v>33</v>
      </c>
      <c r="AS58" t="s">
        <v>33</v>
      </c>
      <c r="AT58" t="s">
        <v>33</v>
      </c>
      <c r="AU58" t="s">
        <v>33</v>
      </c>
      <c r="AV58" t="s">
        <v>33</v>
      </c>
      <c r="AW58" t="s">
        <v>33</v>
      </c>
      <c r="AX58" t="s">
        <v>33</v>
      </c>
      <c r="AY58" t="s">
        <v>33</v>
      </c>
      <c r="AZ58">
        <v>0.95811518324607303</v>
      </c>
      <c r="BA58" t="s">
        <v>33</v>
      </c>
      <c r="BB58">
        <v>0.85826771653543299</v>
      </c>
      <c r="BC58" t="s">
        <v>33</v>
      </c>
      <c r="BD58" t="s">
        <v>33</v>
      </c>
      <c r="BE58" t="s">
        <v>33</v>
      </c>
      <c r="BF58" t="s">
        <v>33</v>
      </c>
      <c r="BG58">
        <v>0.96907216494845305</v>
      </c>
      <c r="BH58">
        <v>0.859649122807017</v>
      </c>
      <c r="BI58" t="s">
        <v>33</v>
      </c>
      <c r="BJ58" t="s">
        <v>33</v>
      </c>
      <c r="BK58" t="s">
        <v>33</v>
      </c>
      <c r="BL58" t="s">
        <v>33</v>
      </c>
      <c r="BM58" t="s">
        <v>33</v>
      </c>
      <c r="BN58">
        <v>0.94100379588211003</v>
      </c>
      <c r="BO58" t="s">
        <v>33</v>
      </c>
      <c r="BP58" t="s">
        <v>33</v>
      </c>
      <c r="BQ58">
        <v>0.979797979797979</v>
      </c>
      <c r="BR58">
        <v>0.98076923076922995</v>
      </c>
      <c r="BS58" t="s">
        <v>33</v>
      </c>
      <c r="BT58">
        <v>0.85135135135135098</v>
      </c>
      <c r="BU58" t="s">
        <v>33</v>
      </c>
      <c r="BV58" t="s">
        <v>33</v>
      </c>
      <c r="BW58">
        <v>0.85321783721979905</v>
      </c>
      <c r="BX58" t="s">
        <v>33</v>
      </c>
      <c r="BY58" t="s">
        <v>33</v>
      </c>
      <c r="BZ58" t="s">
        <v>33</v>
      </c>
      <c r="CA58" t="s">
        <v>33</v>
      </c>
      <c r="CB58">
        <v>0.61290322580645096</v>
      </c>
      <c r="CC58">
        <v>0.66666666666666596</v>
      </c>
      <c r="CD58">
        <v>0.73863636363636298</v>
      </c>
      <c r="CE58" t="s">
        <v>33</v>
      </c>
      <c r="CF58" t="s">
        <v>33</v>
      </c>
      <c r="CG58" t="s">
        <v>33</v>
      </c>
      <c r="CI58">
        <f t="shared" si="2"/>
        <v>0.84752290055650159</v>
      </c>
      <c r="CJ58">
        <f t="shared" si="0"/>
        <v>0</v>
      </c>
      <c r="CK58">
        <f t="shared" si="1"/>
        <v>0.89711081655095448</v>
      </c>
    </row>
    <row r="59" spans="1:89" x14ac:dyDescent="0.25">
      <c r="A59" t="s">
        <v>94</v>
      </c>
      <c r="B59" t="s">
        <v>87</v>
      </c>
      <c r="C59" s="2">
        <v>3</v>
      </c>
      <c r="D59" s="2">
        <v>2</v>
      </c>
      <c r="E59" s="2">
        <v>1</v>
      </c>
      <c r="F59" s="2">
        <v>3</v>
      </c>
      <c r="G59" s="2">
        <v>2</v>
      </c>
      <c r="H59" t="s">
        <v>33</v>
      </c>
      <c r="I59" t="s">
        <v>33</v>
      </c>
      <c r="J59" t="s">
        <v>33</v>
      </c>
      <c r="K59">
        <v>1</v>
      </c>
      <c r="L59">
        <v>0.45614035087719201</v>
      </c>
      <c r="M59">
        <v>0.57407407407407396</v>
      </c>
      <c r="N59" t="s">
        <v>33</v>
      </c>
      <c r="O59" t="s">
        <v>33</v>
      </c>
      <c r="P59" t="s">
        <v>33</v>
      </c>
      <c r="Q59" t="s">
        <v>33</v>
      </c>
      <c r="R59" t="s">
        <v>33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33</v>
      </c>
      <c r="Y59" t="s">
        <v>33</v>
      </c>
      <c r="Z59" t="s">
        <v>33</v>
      </c>
      <c r="AA59" t="s">
        <v>33</v>
      </c>
      <c r="AB59">
        <v>0.71150764834743097</v>
      </c>
      <c r="AC59">
        <v>0.60010561507055205</v>
      </c>
      <c r="AD59" t="s">
        <v>33</v>
      </c>
      <c r="AE59" t="s">
        <v>33</v>
      </c>
      <c r="AF59">
        <v>0.784070045535737</v>
      </c>
      <c r="AG59" t="s">
        <v>33</v>
      </c>
      <c r="AH59">
        <v>0.87128712871287095</v>
      </c>
      <c r="AI59">
        <v>0.85057471264367801</v>
      </c>
      <c r="AJ59" t="s">
        <v>33</v>
      </c>
      <c r="AK59" t="s">
        <v>33</v>
      </c>
      <c r="AL59">
        <v>0.78930190041822001</v>
      </c>
      <c r="AM59" t="s">
        <v>33</v>
      </c>
      <c r="AN59" t="s">
        <v>33</v>
      </c>
      <c r="AO59" t="s">
        <v>33</v>
      </c>
      <c r="AP59" t="s">
        <v>33</v>
      </c>
      <c r="AQ59" t="s">
        <v>33</v>
      </c>
      <c r="AR59">
        <v>0.73255813953488302</v>
      </c>
      <c r="AS59" t="s">
        <v>33</v>
      </c>
      <c r="AT59" t="s">
        <v>33</v>
      </c>
      <c r="AU59" t="s">
        <v>33</v>
      </c>
      <c r="AV59" t="s">
        <v>33</v>
      </c>
      <c r="AW59" t="s">
        <v>33</v>
      </c>
      <c r="AX59">
        <v>0.34860254189645501</v>
      </c>
      <c r="AY59" t="s">
        <v>33</v>
      </c>
      <c r="AZ59" t="s">
        <v>33</v>
      </c>
      <c r="BA59" t="s">
        <v>33</v>
      </c>
      <c r="BB59" t="s">
        <v>33</v>
      </c>
      <c r="BC59" t="s">
        <v>33</v>
      </c>
      <c r="BD59">
        <v>0.8</v>
      </c>
      <c r="BE59">
        <v>0</v>
      </c>
      <c r="BF59">
        <v>0.45539379065790703</v>
      </c>
      <c r="BG59" t="s">
        <v>33</v>
      </c>
      <c r="BH59" t="s">
        <v>33</v>
      </c>
      <c r="BI59" t="s">
        <v>33</v>
      </c>
      <c r="BJ59" t="s">
        <v>33</v>
      </c>
      <c r="BK59" t="s">
        <v>33</v>
      </c>
      <c r="BL59">
        <v>0.92296094544117202</v>
      </c>
      <c r="BM59" t="s">
        <v>33</v>
      </c>
      <c r="BN59">
        <v>0.62930694444444402</v>
      </c>
      <c r="BO59" t="s">
        <v>33</v>
      </c>
      <c r="BP59">
        <v>0.52004486809260497</v>
      </c>
      <c r="BQ59" t="s">
        <v>33</v>
      </c>
      <c r="BR59" t="s">
        <v>33</v>
      </c>
      <c r="BS59">
        <v>0.53210184058305299</v>
      </c>
      <c r="BT59" t="s">
        <v>33</v>
      </c>
      <c r="BU59" t="s">
        <v>33</v>
      </c>
      <c r="BV59" t="s">
        <v>33</v>
      </c>
      <c r="BW59" t="s">
        <v>33</v>
      </c>
      <c r="BX59">
        <v>0.90758499999999998</v>
      </c>
      <c r="BY59" t="s">
        <v>33</v>
      </c>
      <c r="BZ59" t="s">
        <v>33</v>
      </c>
      <c r="CA59">
        <v>0.99645879673367399</v>
      </c>
      <c r="CB59" t="s">
        <v>33</v>
      </c>
      <c r="CC59">
        <v>0.875</v>
      </c>
      <c r="CD59" t="s">
        <v>33</v>
      </c>
      <c r="CE59" t="s">
        <v>33</v>
      </c>
      <c r="CF59" t="s">
        <v>33</v>
      </c>
      <c r="CG59">
        <v>0.83333333333333304</v>
      </c>
      <c r="CI59">
        <f t="shared" si="2"/>
        <v>0.74143235565624377</v>
      </c>
      <c r="CJ59">
        <f t="shared" si="0"/>
        <v>0.47281795365051099</v>
      </c>
      <c r="CK59">
        <f t="shared" si="1"/>
        <v>0.86407792165482245</v>
      </c>
    </row>
    <row r="60" spans="1:89" x14ac:dyDescent="0.25">
      <c r="A60" t="s">
        <v>57</v>
      </c>
      <c r="B60">
        <v>3</v>
      </c>
      <c r="H60" t="s">
        <v>33</v>
      </c>
      <c r="I60" t="s">
        <v>33</v>
      </c>
      <c r="J60" t="s">
        <v>33</v>
      </c>
      <c r="K60" t="s">
        <v>33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33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33</v>
      </c>
      <c r="Y60" t="s">
        <v>33</v>
      </c>
      <c r="Z60" t="s">
        <v>33</v>
      </c>
      <c r="AA60" t="s">
        <v>33</v>
      </c>
      <c r="AB60" t="s">
        <v>33</v>
      </c>
      <c r="AC60" t="s">
        <v>33</v>
      </c>
      <c r="AD60" t="s">
        <v>33</v>
      </c>
      <c r="AE60" t="s">
        <v>33</v>
      </c>
      <c r="AF60" t="s">
        <v>33</v>
      </c>
      <c r="AG60" t="s">
        <v>33</v>
      </c>
      <c r="AH60" t="s">
        <v>33</v>
      </c>
      <c r="AI60" t="s">
        <v>33</v>
      </c>
      <c r="AJ60" t="s">
        <v>33</v>
      </c>
      <c r="AK60" t="s">
        <v>33</v>
      </c>
      <c r="AL60" t="s">
        <v>33</v>
      </c>
      <c r="AM60" t="s">
        <v>33</v>
      </c>
      <c r="AN60" t="s">
        <v>33</v>
      </c>
      <c r="AO60" t="s">
        <v>33</v>
      </c>
      <c r="AP60" t="s">
        <v>33</v>
      </c>
      <c r="AQ60" t="s">
        <v>33</v>
      </c>
      <c r="AR60" t="s">
        <v>33</v>
      </c>
      <c r="AS60" t="s">
        <v>33</v>
      </c>
      <c r="AT60" t="s">
        <v>33</v>
      </c>
      <c r="AU60" t="s">
        <v>33</v>
      </c>
      <c r="AV60" t="s">
        <v>33</v>
      </c>
      <c r="AW60" t="s">
        <v>33</v>
      </c>
      <c r="AX60" t="s">
        <v>33</v>
      </c>
      <c r="AY60" t="s">
        <v>33</v>
      </c>
      <c r="AZ60">
        <v>0.71929824561403499</v>
      </c>
      <c r="BA60" t="s">
        <v>33</v>
      </c>
      <c r="BB60">
        <v>0.76271186440677896</v>
      </c>
      <c r="BC60" t="s">
        <v>33</v>
      </c>
      <c r="BD60" t="s">
        <v>33</v>
      </c>
      <c r="BE60" t="s">
        <v>33</v>
      </c>
      <c r="BF60" t="s">
        <v>33</v>
      </c>
      <c r="BG60" t="s">
        <v>33</v>
      </c>
      <c r="BH60">
        <v>0.78</v>
      </c>
      <c r="BI60" t="s">
        <v>33</v>
      </c>
      <c r="BJ60" t="s">
        <v>33</v>
      </c>
      <c r="BK60" t="s">
        <v>33</v>
      </c>
      <c r="BL60" t="s">
        <v>33</v>
      </c>
      <c r="BM60" t="s">
        <v>33</v>
      </c>
      <c r="BN60">
        <v>0.87393156019724305</v>
      </c>
      <c r="BO60" t="s">
        <v>33</v>
      </c>
      <c r="BP60" t="s">
        <v>33</v>
      </c>
      <c r="BQ60">
        <v>0.95620437956204296</v>
      </c>
      <c r="BR60">
        <v>0.96078458110459697</v>
      </c>
      <c r="BS60" t="s">
        <v>33</v>
      </c>
      <c r="BT60">
        <v>0.835443037974683</v>
      </c>
      <c r="BU60" t="s">
        <v>33</v>
      </c>
      <c r="BV60" t="s">
        <v>33</v>
      </c>
      <c r="BW60" t="s">
        <v>33</v>
      </c>
      <c r="BX60" t="s">
        <v>33</v>
      </c>
      <c r="BY60" t="s">
        <v>33</v>
      </c>
      <c r="BZ60" t="s">
        <v>33</v>
      </c>
      <c r="CA60" t="s">
        <v>33</v>
      </c>
      <c r="CB60">
        <v>0.27272727272727199</v>
      </c>
      <c r="CC60">
        <v>1</v>
      </c>
      <c r="CD60">
        <v>0.52380952380952295</v>
      </c>
      <c r="CE60" t="s">
        <v>33</v>
      </c>
      <c r="CF60" t="s">
        <v>33</v>
      </c>
      <c r="CG60" t="s">
        <v>33</v>
      </c>
      <c r="CI60">
        <f t="shared" si="2"/>
        <v>0.75677543391099245</v>
      </c>
      <c r="CJ60">
        <f t="shared" si="0"/>
        <v>0</v>
      </c>
      <c r="CK60">
        <f t="shared" si="1"/>
        <v>0.87393156019724305</v>
      </c>
    </row>
    <row r="61" spans="1:89" x14ac:dyDescent="0.25">
      <c r="A61" t="s">
        <v>108</v>
      </c>
      <c r="B61">
        <v>3</v>
      </c>
      <c r="H61" t="s">
        <v>33</v>
      </c>
      <c r="I61" t="s">
        <v>33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33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33</v>
      </c>
      <c r="Y61" t="s">
        <v>33</v>
      </c>
      <c r="Z61" t="s">
        <v>33</v>
      </c>
      <c r="AA61" t="s">
        <v>33</v>
      </c>
      <c r="AB61" t="s">
        <v>33</v>
      </c>
      <c r="AC61" t="s">
        <v>33</v>
      </c>
      <c r="AD61" t="s">
        <v>33</v>
      </c>
      <c r="AE61" t="s">
        <v>33</v>
      </c>
      <c r="AF61" t="s">
        <v>33</v>
      </c>
      <c r="AG61" t="s">
        <v>33</v>
      </c>
      <c r="AH61" t="s">
        <v>33</v>
      </c>
      <c r="AI61" t="s">
        <v>33</v>
      </c>
      <c r="AJ61" t="s">
        <v>33</v>
      </c>
      <c r="AK61" t="s">
        <v>33</v>
      </c>
      <c r="AL61" t="s">
        <v>33</v>
      </c>
      <c r="AM61" t="s">
        <v>33</v>
      </c>
      <c r="AN61" t="s">
        <v>33</v>
      </c>
      <c r="AO61" t="s">
        <v>33</v>
      </c>
      <c r="AP61" t="s">
        <v>33</v>
      </c>
      <c r="AQ61" t="s">
        <v>33</v>
      </c>
      <c r="AR61" t="s">
        <v>33</v>
      </c>
      <c r="AS61" t="s">
        <v>33</v>
      </c>
      <c r="AT61" t="s">
        <v>33</v>
      </c>
      <c r="AU61" t="s">
        <v>33</v>
      </c>
      <c r="AV61" t="s">
        <v>33</v>
      </c>
      <c r="AW61" t="s">
        <v>33</v>
      </c>
      <c r="AX61" t="s">
        <v>33</v>
      </c>
      <c r="AY61" t="s">
        <v>33</v>
      </c>
      <c r="AZ61">
        <v>0.96078431372549</v>
      </c>
      <c r="BA61" t="s">
        <v>33</v>
      </c>
      <c r="BB61">
        <v>0.98181818181818103</v>
      </c>
      <c r="BC61" t="s">
        <v>33</v>
      </c>
      <c r="BD61" t="s">
        <v>33</v>
      </c>
      <c r="BE61" t="s">
        <v>33</v>
      </c>
      <c r="BF61" t="s">
        <v>33</v>
      </c>
      <c r="BG61" t="s">
        <v>33</v>
      </c>
      <c r="BH61">
        <v>0.841584158415841</v>
      </c>
      <c r="BI61" t="s">
        <v>33</v>
      </c>
      <c r="BJ61" t="s">
        <v>33</v>
      </c>
      <c r="BK61" t="s">
        <v>33</v>
      </c>
      <c r="BL61" t="s">
        <v>33</v>
      </c>
      <c r="BM61" t="s">
        <v>33</v>
      </c>
      <c r="BN61">
        <v>0.95720314653681504</v>
      </c>
      <c r="BO61" t="s">
        <v>33</v>
      </c>
      <c r="BP61" t="s">
        <v>33</v>
      </c>
      <c r="BQ61">
        <v>0.94444444444444398</v>
      </c>
      <c r="BR61">
        <v>0.92321315628281098</v>
      </c>
      <c r="BS61" t="s">
        <v>33</v>
      </c>
      <c r="BT61">
        <v>0.78431372549019596</v>
      </c>
      <c r="BU61" t="s">
        <v>33</v>
      </c>
      <c r="BV61" t="s">
        <v>33</v>
      </c>
      <c r="BW61" t="s">
        <v>33</v>
      </c>
      <c r="BX61" t="s">
        <v>33</v>
      </c>
      <c r="BY61" t="s">
        <v>33</v>
      </c>
      <c r="BZ61" t="s">
        <v>33</v>
      </c>
      <c r="CA61" t="s">
        <v>33</v>
      </c>
      <c r="CB61">
        <v>0.225806451612903</v>
      </c>
      <c r="CC61" t="s">
        <v>33</v>
      </c>
      <c r="CD61">
        <v>0.64814814814814803</v>
      </c>
      <c r="CE61" t="s">
        <v>33</v>
      </c>
      <c r="CF61" t="s">
        <v>33</v>
      </c>
      <c r="CG61" t="s">
        <v>33</v>
      </c>
      <c r="CI61">
        <f t="shared" si="2"/>
        <v>0.78876407249225178</v>
      </c>
      <c r="CJ61">
        <f t="shared" si="0"/>
        <v>0</v>
      </c>
      <c r="CK61">
        <f t="shared" si="1"/>
        <v>0.95720314653681504</v>
      </c>
    </row>
    <row r="62" spans="1:89" x14ac:dyDescent="0.25">
      <c r="A62" t="s">
        <v>129</v>
      </c>
      <c r="B62">
        <v>1</v>
      </c>
      <c r="C62" s="2">
        <v>3</v>
      </c>
      <c r="D62" s="2">
        <v>2</v>
      </c>
      <c r="E62" s="2">
        <v>3</v>
      </c>
      <c r="F62" s="2">
        <v>3</v>
      </c>
      <c r="G62" s="2">
        <v>3</v>
      </c>
      <c r="H62" t="s">
        <v>33</v>
      </c>
      <c r="I62" t="s">
        <v>33</v>
      </c>
      <c r="J62" t="s">
        <v>33</v>
      </c>
      <c r="K62" t="s">
        <v>33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33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33</v>
      </c>
      <c r="Y62" t="s">
        <v>33</v>
      </c>
      <c r="Z62" t="s">
        <v>33</v>
      </c>
      <c r="AA62">
        <v>0.83647811191307597</v>
      </c>
      <c r="AB62" t="s">
        <v>33</v>
      </c>
      <c r="AC62" t="s">
        <v>33</v>
      </c>
      <c r="AD62" t="s">
        <v>33</v>
      </c>
      <c r="AE62" t="s">
        <v>33</v>
      </c>
      <c r="AF62" t="s">
        <v>33</v>
      </c>
      <c r="AG62" t="s">
        <v>33</v>
      </c>
      <c r="AH62" t="s">
        <v>33</v>
      </c>
      <c r="AI62" t="s">
        <v>33</v>
      </c>
      <c r="AJ62" t="s">
        <v>33</v>
      </c>
      <c r="AK62" t="s">
        <v>33</v>
      </c>
      <c r="AL62" t="s">
        <v>33</v>
      </c>
      <c r="AM62" t="s">
        <v>33</v>
      </c>
      <c r="AN62" t="s">
        <v>33</v>
      </c>
      <c r="AO62" t="s">
        <v>33</v>
      </c>
      <c r="AP62" t="s">
        <v>33</v>
      </c>
      <c r="AQ62" t="s">
        <v>33</v>
      </c>
      <c r="AR62">
        <v>0.292682926829268</v>
      </c>
      <c r="AS62" t="s">
        <v>33</v>
      </c>
      <c r="AT62" t="s">
        <v>33</v>
      </c>
      <c r="AU62" t="s">
        <v>33</v>
      </c>
      <c r="AV62">
        <v>0</v>
      </c>
      <c r="AW62">
        <v>0</v>
      </c>
      <c r="AX62" t="s">
        <v>33</v>
      </c>
      <c r="AY62" t="s">
        <v>33</v>
      </c>
      <c r="AZ62" t="s">
        <v>33</v>
      </c>
      <c r="BA62" t="s">
        <v>33</v>
      </c>
      <c r="BB62" t="s">
        <v>33</v>
      </c>
      <c r="BC62" t="s">
        <v>33</v>
      </c>
      <c r="BD62" t="s">
        <v>33</v>
      </c>
      <c r="BE62" t="s">
        <v>33</v>
      </c>
      <c r="BF62">
        <v>1</v>
      </c>
      <c r="BG62" t="s">
        <v>33</v>
      </c>
      <c r="BH62" t="s">
        <v>33</v>
      </c>
      <c r="BI62" t="s">
        <v>33</v>
      </c>
      <c r="BJ62" t="s">
        <v>33</v>
      </c>
      <c r="BK62" t="s">
        <v>33</v>
      </c>
      <c r="BL62" t="s">
        <v>33</v>
      </c>
      <c r="BM62" t="s">
        <v>33</v>
      </c>
      <c r="BN62" t="s">
        <v>33</v>
      </c>
      <c r="BO62" t="s">
        <v>33</v>
      </c>
      <c r="BP62" t="s">
        <v>33</v>
      </c>
      <c r="BQ62" t="s">
        <v>33</v>
      </c>
      <c r="BR62" t="s">
        <v>33</v>
      </c>
      <c r="BS62">
        <v>0.64078784185326698</v>
      </c>
      <c r="BT62" t="s">
        <v>33</v>
      </c>
      <c r="BU62" t="s">
        <v>33</v>
      </c>
      <c r="BV62">
        <v>0.85990089004601</v>
      </c>
      <c r="BW62">
        <v>0.68441449275362298</v>
      </c>
      <c r="BX62" t="s">
        <v>33</v>
      </c>
      <c r="BY62" t="s">
        <v>33</v>
      </c>
      <c r="BZ62" t="s">
        <v>33</v>
      </c>
      <c r="CA62" t="s">
        <v>33</v>
      </c>
      <c r="CB62" t="s">
        <v>33</v>
      </c>
      <c r="CC62" t="s">
        <v>33</v>
      </c>
      <c r="CD62" t="s">
        <v>33</v>
      </c>
      <c r="CE62" t="s">
        <v>33</v>
      </c>
      <c r="CF62" t="s">
        <v>33</v>
      </c>
      <c r="CG62" t="s">
        <v>33</v>
      </c>
      <c r="CI62">
        <f t="shared" si="2"/>
        <v>0.56458051937117193</v>
      </c>
      <c r="CJ62">
        <f t="shared" si="0"/>
        <v>0.41019696046331677</v>
      </c>
      <c r="CK62">
        <f t="shared" si="1"/>
        <v>0.77215769139981649</v>
      </c>
    </row>
    <row r="63" spans="1:89" x14ac:dyDescent="0.25">
      <c r="A63" t="s">
        <v>88</v>
      </c>
      <c r="B63" t="s">
        <v>87</v>
      </c>
      <c r="C63" s="2">
        <v>9</v>
      </c>
      <c r="D63" s="2">
        <v>2</v>
      </c>
      <c r="E63" s="2">
        <v>2</v>
      </c>
      <c r="F63" s="2">
        <v>2</v>
      </c>
      <c r="G63" s="2">
        <v>2</v>
      </c>
      <c r="H63" t="s">
        <v>33</v>
      </c>
      <c r="I63" t="s">
        <v>33</v>
      </c>
      <c r="J63" t="s">
        <v>33</v>
      </c>
      <c r="K63" t="s">
        <v>33</v>
      </c>
      <c r="L63">
        <v>0.76190476190476097</v>
      </c>
      <c r="M63">
        <v>0.58490566037735803</v>
      </c>
      <c r="N63" t="s">
        <v>33</v>
      </c>
      <c r="O63" t="s">
        <v>33</v>
      </c>
      <c r="P63" t="s">
        <v>33</v>
      </c>
      <c r="Q63">
        <v>0.85714285714285698</v>
      </c>
      <c r="R63">
        <v>0.75403316957463096</v>
      </c>
      <c r="S63" t="s">
        <v>33</v>
      </c>
      <c r="T63">
        <v>0.6</v>
      </c>
      <c r="U63" t="s">
        <v>33</v>
      </c>
      <c r="V63" t="s">
        <v>33</v>
      </c>
      <c r="W63" t="s">
        <v>33</v>
      </c>
      <c r="X63" t="s">
        <v>33</v>
      </c>
      <c r="Y63" t="s">
        <v>33</v>
      </c>
      <c r="Z63" t="s">
        <v>33</v>
      </c>
      <c r="AA63" t="s">
        <v>33</v>
      </c>
      <c r="AB63" t="s">
        <v>33</v>
      </c>
      <c r="AC63" t="s">
        <v>33</v>
      </c>
      <c r="AD63" t="s">
        <v>33</v>
      </c>
      <c r="AE63" t="s">
        <v>33</v>
      </c>
      <c r="AF63" t="s">
        <v>33</v>
      </c>
      <c r="AG63" t="s">
        <v>33</v>
      </c>
      <c r="AH63" t="s">
        <v>33</v>
      </c>
      <c r="AI63">
        <v>0.96129032258064495</v>
      </c>
      <c r="AJ63" t="s">
        <v>33</v>
      </c>
      <c r="AK63" t="s">
        <v>33</v>
      </c>
      <c r="AL63" t="s">
        <v>33</v>
      </c>
      <c r="AM63" t="s">
        <v>33</v>
      </c>
      <c r="AN63" t="s">
        <v>33</v>
      </c>
      <c r="AO63" t="s">
        <v>33</v>
      </c>
      <c r="AP63" t="s">
        <v>33</v>
      </c>
      <c r="AQ63" t="s">
        <v>33</v>
      </c>
      <c r="AR63">
        <v>0.55142384687076396</v>
      </c>
      <c r="AS63" t="s">
        <v>33</v>
      </c>
      <c r="AT63" t="s">
        <v>33</v>
      </c>
      <c r="AU63" t="s">
        <v>33</v>
      </c>
      <c r="AV63" t="s">
        <v>33</v>
      </c>
      <c r="AW63" t="s">
        <v>33</v>
      </c>
      <c r="AX63">
        <v>0</v>
      </c>
      <c r="AY63" t="s">
        <v>33</v>
      </c>
      <c r="AZ63" t="s">
        <v>33</v>
      </c>
      <c r="BA63" t="s">
        <v>33</v>
      </c>
      <c r="BB63" t="s">
        <v>33</v>
      </c>
      <c r="BC63" t="s">
        <v>33</v>
      </c>
      <c r="BD63">
        <v>0.89898989898989901</v>
      </c>
      <c r="BE63">
        <v>0.483612926670347</v>
      </c>
      <c r="BF63">
        <v>0.43693170880395998</v>
      </c>
      <c r="BG63" t="s">
        <v>33</v>
      </c>
      <c r="BH63" t="s">
        <v>33</v>
      </c>
      <c r="BI63" t="s">
        <v>33</v>
      </c>
      <c r="BJ63" t="s">
        <v>33</v>
      </c>
      <c r="BK63" t="s">
        <v>33</v>
      </c>
      <c r="BL63">
        <v>0.95474327182832097</v>
      </c>
      <c r="BM63" t="s">
        <v>33</v>
      </c>
      <c r="BN63">
        <v>0.81127997623325598</v>
      </c>
      <c r="BO63" t="s">
        <v>33</v>
      </c>
      <c r="BP63">
        <v>0.98675496688741704</v>
      </c>
      <c r="BQ63" t="s">
        <v>33</v>
      </c>
      <c r="BR63" t="s">
        <v>33</v>
      </c>
      <c r="BS63">
        <v>0.66742647571387304</v>
      </c>
      <c r="BT63" t="s">
        <v>33</v>
      </c>
      <c r="BU63" t="s">
        <v>33</v>
      </c>
      <c r="BV63" t="s">
        <v>33</v>
      </c>
      <c r="BW63" t="s">
        <v>33</v>
      </c>
      <c r="BX63">
        <v>0.43731944444444398</v>
      </c>
      <c r="BY63" t="s">
        <v>33</v>
      </c>
      <c r="BZ63" t="s">
        <v>33</v>
      </c>
      <c r="CA63">
        <v>0.93196766140308296</v>
      </c>
      <c r="CB63" t="s">
        <v>33</v>
      </c>
      <c r="CC63" t="s">
        <v>33</v>
      </c>
      <c r="CD63" t="s">
        <v>33</v>
      </c>
      <c r="CE63" t="s">
        <v>33</v>
      </c>
      <c r="CF63" t="s">
        <v>33</v>
      </c>
      <c r="CG63">
        <v>0.97222222222222199</v>
      </c>
      <c r="CI63">
        <f t="shared" si="2"/>
        <v>0.7928667706550554</v>
      </c>
      <c r="CJ63">
        <f t="shared" si="0"/>
        <v>0.396992777797045</v>
      </c>
      <c r="CK63">
        <f t="shared" si="1"/>
        <v>0.78382758847727607</v>
      </c>
    </row>
    <row r="64" spans="1:89" x14ac:dyDescent="0.25">
      <c r="A64" t="s">
        <v>59</v>
      </c>
      <c r="B64" t="s">
        <v>131</v>
      </c>
      <c r="H64" t="s">
        <v>33</v>
      </c>
      <c r="I64" t="s">
        <v>33</v>
      </c>
      <c r="J64" t="s">
        <v>33</v>
      </c>
      <c r="K64" t="s">
        <v>33</v>
      </c>
      <c r="L64">
        <v>0.62327609333988998</v>
      </c>
      <c r="M64">
        <v>0.81081081081080997</v>
      </c>
      <c r="N64" t="s">
        <v>33</v>
      </c>
      <c r="O64" t="s">
        <v>33</v>
      </c>
      <c r="P64" t="s">
        <v>33</v>
      </c>
      <c r="Q64" t="s">
        <v>33</v>
      </c>
      <c r="R64">
        <v>0.76995447201059097</v>
      </c>
      <c r="S64" t="s">
        <v>33</v>
      </c>
      <c r="T64">
        <v>0.35416666666666602</v>
      </c>
      <c r="U64" t="s">
        <v>33</v>
      </c>
      <c r="V64" t="s">
        <v>33</v>
      </c>
      <c r="W64" t="s">
        <v>33</v>
      </c>
      <c r="X64" t="s">
        <v>33</v>
      </c>
      <c r="Y64" t="s">
        <v>33</v>
      </c>
      <c r="Z64" t="s">
        <v>33</v>
      </c>
      <c r="AA64" t="s">
        <v>33</v>
      </c>
      <c r="AB64" t="s">
        <v>33</v>
      </c>
      <c r="AC64" t="s">
        <v>33</v>
      </c>
      <c r="AD64" t="s">
        <v>33</v>
      </c>
      <c r="AE64" t="s">
        <v>33</v>
      </c>
      <c r="AF64" t="s">
        <v>33</v>
      </c>
      <c r="AG64" t="s">
        <v>33</v>
      </c>
      <c r="AH64" t="s">
        <v>33</v>
      </c>
      <c r="AI64" t="s">
        <v>33</v>
      </c>
      <c r="AJ64" t="s">
        <v>33</v>
      </c>
      <c r="AK64" t="s">
        <v>33</v>
      </c>
      <c r="AL64" t="s">
        <v>33</v>
      </c>
      <c r="AM64" t="s">
        <v>33</v>
      </c>
      <c r="AN64" t="s">
        <v>33</v>
      </c>
      <c r="AO64" t="s">
        <v>33</v>
      </c>
      <c r="AP64" t="s">
        <v>33</v>
      </c>
      <c r="AQ64" t="s">
        <v>33</v>
      </c>
      <c r="AR64" t="s">
        <v>33</v>
      </c>
      <c r="AS64" t="s">
        <v>33</v>
      </c>
      <c r="AT64" t="s">
        <v>33</v>
      </c>
      <c r="AU64" t="s">
        <v>33</v>
      </c>
      <c r="AV64" t="s">
        <v>33</v>
      </c>
      <c r="AW64" t="s">
        <v>33</v>
      </c>
      <c r="AX64" t="s">
        <v>33</v>
      </c>
      <c r="AY64" t="s">
        <v>33</v>
      </c>
      <c r="AZ64" t="s">
        <v>33</v>
      </c>
      <c r="BA64" t="s">
        <v>33</v>
      </c>
      <c r="BB64" t="s">
        <v>33</v>
      </c>
      <c r="BC64" t="s">
        <v>33</v>
      </c>
      <c r="BD64" t="s">
        <v>33</v>
      </c>
      <c r="BE64" t="s">
        <v>33</v>
      </c>
      <c r="BF64" t="s">
        <v>33</v>
      </c>
      <c r="BG64" t="s">
        <v>33</v>
      </c>
      <c r="BH64" t="s">
        <v>33</v>
      </c>
      <c r="BI64" t="s">
        <v>33</v>
      </c>
      <c r="BJ64" t="s">
        <v>33</v>
      </c>
      <c r="BK64" t="s">
        <v>33</v>
      </c>
      <c r="BL64" t="s">
        <v>33</v>
      </c>
      <c r="BM64" t="s">
        <v>33</v>
      </c>
      <c r="BN64" t="s">
        <v>33</v>
      </c>
      <c r="BO64" t="s">
        <v>33</v>
      </c>
      <c r="BP64" t="s">
        <v>33</v>
      </c>
      <c r="BQ64" t="s">
        <v>33</v>
      </c>
      <c r="BR64" t="s">
        <v>33</v>
      </c>
      <c r="BS64" t="s">
        <v>33</v>
      </c>
      <c r="BT64" t="s">
        <v>33</v>
      </c>
      <c r="BU64" t="s">
        <v>33</v>
      </c>
      <c r="BV64" t="s">
        <v>33</v>
      </c>
      <c r="BW64" t="s">
        <v>33</v>
      </c>
      <c r="BX64" t="s">
        <v>33</v>
      </c>
      <c r="BY64" t="s">
        <v>33</v>
      </c>
      <c r="BZ64" t="s">
        <v>33</v>
      </c>
      <c r="CA64" t="s">
        <v>33</v>
      </c>
      <c r="CB64" t="s">
        <v>33</v>
      </c>
      <c r="CC64" t="s">
        <v>33</v>
      </c>
      <c r="CD64" t="s">
        <v>33</v>
      </c>
      <c r="CE64" t="s">
        <v>33</v>
      </c>
      <c r="CF64" t="s">
        <v>33</v>
      </c>
      <c r="CG64" t="s">
        <v>33</v>
      </c>
      <c r="CI64">
        <f t="shared" si="2"/>
        <v>0.63955201070698919</v>
      </c>
      <c r="CJ64">
        <f t="shared" si="0"/>
        <v>0</v>
      </c>
      <c r="CK64">
        <f t="shared" si="1"/>
        <v>0</v>
      </c>
    </row>
    <row r="65" spans="1:89" x14ac:dyDescent="0.25">
      <c r="A65" t="s">
        <v>95</v>
      </c>
      <c r="B65" t="s">
        <v>87</v>
      </c>
      <c r="C65" s="2">
        <v>2</v>
      </c>
      <c r="D65" s="2">
        <v>1</v>
      </c>
      <c r="E65" s="2">
        <v>3</v>
      </c>
      <c r="F65" s="2">
        <v>2</v>
      </c>
      <c r="G65" s="2">
        <v>2</v>
      </c>
      <c r="H65" t="s">
        <v>33</v>
      </c>
      <c r="I65" t="s">
        <v>33</v>
      </c>
      <c r="J65" t="s">
        <v>33</v>
      </c>
      <c r="K65" t="s">
        <v>33</v>
      </c>
      <c r="L65">
        <v>0.94736842105263097</v>
      </c>
      <c r="M65">
        <v>0.64583333333333304</v>
      </c>
      <c r="N65" t="s">
        <v>33</v>
      </c>
      <c r="O65" t="s">
        <v>33</v>
      </c>
      <c r="P65" t="s">
        <v>33</v>
      </c>
      <c r="Q65" t="s">
        <v>33</v>
      </c>
      <c r="R65" t="s">
        <v>33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33</v>
      </c>
      <c r="Y65" t="s">
        <v>33</v>
      </c>
      <c r="Z65" t="s">
        <v>33</v>
      </c>
      <c r="AA65" t="s">
        <v>33</v>
      </c>
      <c r="AB65">
        <v>1</v>
      </c>
      <c r="AC65">
        <v>0.38341456830103998</v>
      </c>
      <c r="AD65" t="s">
        <v>33</v>
      </c>
      <c r="AE65">
        <v>0.65149749630099996</v>
      </c>
      <c r="AF65" t="s">
        <v>33</v>
      </c>
      <c r="AG65" t="s">
        <v>33</v>
      </c>
      <c r="AH65">
        <v>0.89898989898989901</v>
      </c>
      <c r="AI65">
        <v>0.91752577319587603</v>
      </c>
      <c r="AJ65" t="s">
        <v>33</v>
      </c>
      <c r="AK65" t="s">
        <v>33</v>
      </c>
      <c r="AL65" t="s">
        <v>33</v>
      </c>
      <c r="AM65" t="s">
        <v>33</v>
      </c>
      <c r="AN65" t="s">
        <v>33</v>
      </c>
      <c r="AO65" t="s">
        <v>33</v>
      </c>
      <c r="AP65" t="s">
        <v>33</v>
      </c>
      <c r="AQ65" t="s">
        <v>33</v>
      </c>
      <c r="AR65">
        <v>0.88136320201606899</v>
      </c>
      <c r="AS65" t="s">
        <v>33</v>
      </c>
      <c r="AT65" t="s">
        <v>33</v>
      </c>
      <c r="AU65" t="s">
        <v>33</v>
      </c>
      <c r="AV65" t="s">
        <v>33</v>
      </c>
      <c r="AW65" t="s">
        <v>33</v>
      </c>
      <c r="AX65">
        <v>0</v>
      </c>
      <c r="AY65" t="s">
        <v>33</v>
      </c>
      <c r="AZ65" t="s">
        <v>33</v>
      </c>
      <c r="BA65" t="s">
        <v>33</v>
      </c>
      <c r="BB65" t="s">
        <v>33</v>
      </c>
      <c r="BC65" t="s">
        <v>33</v>
      </c>
      <c r="BD65">
        <v>0.449438202247191</v>
      </c>
      <c r="BE65">
        <v>0.25064200350871901</v>
      </c>
      <c r="BF65">
        <v>0.17632047654597499</v>
      </c>
      <c r="BG65" t="s">
        <v>33</v>
      </c>
      <c r="BH65" t="s">
        <v>33</v>
      </c>
      <c r="BI65" t="s">
        <v>33</v>
      </c>
      <c r="BJ65" t="s">
        <v>33</v>
      </c>
      <c r="BK65">
        <v>0.53684210526315701</v>
      </c>
      <c r="BL65">
        <v>0.81727450288610803</v>
      </c>
      <c r="BM65" t="s">
        <v>33</v>
      </c>
      <c r="BN65" t="s">
        <v>33</v>
      </c>
      <c r="BO65" t="s">
        <v>33</v>
      </c>
      <c r="BP65">
        <v>0.844444444444444</v>
      </c>
      <c r="BQ65" t="s">
        <v>33</v>
      </c>
      <c r="BR65" t="s">
        <v>33</v>
      </c>
      <c r="BS65">
        <v>0.34860254189645501</v>
      </c>
      <c r="BT65" t="s">
        <v>33</v>
      </c>
      <c r="BU65" t="s">
        <v>33</v>
      </c>
      <c r="BV65" t="s">
        <v>33</v>
      </c>
      <c r="BW65">
        <v>0.78464124401817703</v>
      </c>
      <c r="BX65">
        <v>0.44977361111111103</v>
      </c>
      <c r="BY65" t="s">
        <v>33</v>
      </c>
      <c r="BZ65" t="s">
        <v>33</v>
      </c>
      <c r="CA65">
        <v>0.94024180724613404</v>
      </c>
      <c r="CB65" t="s">
        <v>33</v>
      </c>
      <c r="CC65" t="s">
        <v>33</v>
      </c>
      <c r="CD65" t="s">
        <v>33</v>
      </c>
      <c r="CE65" t="s">
        <v>33</v>
      </c>
      <c r="CF65" t="s">
        <v>33</v>
      </c>
      <c r="CG65">
        <v>0.75757575757575701</v>
      </c>
      <c r="CI65">
        <f t="shared" si="2"/>
        <v>0.74732817790624895</v>
      </c>
      <c r="CJ65">
        <f t="shared" si="0"/>
        <v>0.4045104197086915</v>
      </c>
      <c r="CK65">
        <f t="shared" si="1"/>
        <v>0.70575465410493743</v>
      </c>
    </row>
    <row r="66" spans="1:89" x14ac:dyDescent="0.25">
      <c r="A66" t="s">
        <v>132</v>
      </c>
      <c r="B66" t="s">
        <v>131</v>
      </c>
      <c r="H66" t="s">
        <v>33</v>
      </c>
      <c r="I66" t="s">
        <v>33</v>
      </c>
      <c r="J66" t="s">
        <v>33</v>
      </c>
      <c r="K66" t="s">
        <v>33</v>
      </c>
      <c r="L66">
        <v>0.68227971415709598</v>
      </c>
      <c r="M66">
        <v>0.76923076923076905</v>
      </c>
      <c r="N66" t="s">
        <v>33</v>
      </c>
      <c r="O66" t="s">
        <v>33</v>
      </c>
      <c r="P66" t="s">
        <v>33</v>
      </c>
      <c r="Q66" t="s">
        <v>33</v>
      </c>
      <c r="R66">
        <v>0.73128223049556695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  <c r="X66" t="s">
        <v>33</v>
      </c>
      <c r="Y66" t="s">
        <v>33</v>
      </c>
      <c r="Z66" t="s">
        <v>33</v>
      </c>
      <c r="AA66" t="s">
        <v>33</v>
      </c>
      <c r="AB66" t="s">
        <v>33</v>
      </c>
      <c r="AC66" t="s">
        <v>33</v>
      </c>
      <c r="AD66" t="s">
        <v>33</v>
      </c>
      <c r="AE66" t="s">
        <v>33</v>
      </c>
      <c r="AF66" t="s">
        <v>33</v>
      </c>
      <c r="AG66" t="s">
        <v>33</v>
      </c>
      <c r="AH66" t="s">
        <v>33</v>
      </c>
      <c r="AI66" t="s">
        <v>33</v>
      </c>
      <c r="AJ66" t="s">
        <v>33</v>
      </c>
      <c r="AK66" t="s">
        <v>33</v>
      </c>
      <c r="AL66" t="s">
        <v>33</v>
      </c>
      <c r="AM66" t="s">
        <v>33</v>
      </c>
      <c r="AN66" t="s">
        <v>33</v>
      </c>
      <c r="AO66" t="s">
        <v>33</v>
      </c>
      <c r="AP66" t="s">
        <v>33</v>
      </c>
      <c r="AQ66" t="s">
        <v>33</v>
      </c>
      <c r="AR66" t="s">
        <v>33</v>
      </c>
      <c r="AS66" t="s">
        <v>33</v>
      </c>
      <c r="AT66" t="s">
        <v>33</v>
      </c>
      <c r="AU66" t="s">
        <v>33</v>
      </c>
      <c r="AV66" t="s">
        <v>33</v>
      </c>
      <c r="AW66" t="s">
        <v>33</v>
      </c>
      <c r="AX66" t="s">
        <v>33</v>
      </c>
      <c r="AY66" t="s">
        <v>33</v>
      </c>
      <c r="AZ66" t="s">
        <v>33</v>
      </c>
      <c r="BA66" t="s">
        <v>33</v>
      </c>
      <c r="BB66" t="s">
        <v>33</v>
      </c>
      <c r="BC66" t="s">
        <v>33</v>
      </c>
      <c r="BD66" t="s">
        <v>33</v>
      </c>
      <c r="BE66" t="s">
        <v>33</v>
      </c>
      <c r="BF66" t="s">
        <v>33</v>
      </c>
      <c r="BG66" t="s">
        <v>33</v>
      </c>
      <c r="BH66" t="s">
        <v>33</v>
      </c>
      <c r="BI66" t="s">
        <v>33</v>
      </c>
      <c r="BJ66" t="s">
        <v>33</v>
      </c>
      <c r="BK66" t="s">
        <v>33</v>
      </c>
      <c r="BL66" t="s">
        <v>33</v>
      </c>
      <c r="BM66" t="s">
        <v>33</v>
      </c>
      <c r="BN66" t="s">
        <v>33</v>
      </c>
      <c r="BO66" t="s">
        <v>33</v>
      </c>
      <c r="BP66" t="s">
        <v>33</v>
      </c>
      <c r="BQ66" t="s">
        <v>33</v>
      </c>
      <c r="BR66" t="s">
        <v>33</v>
      </c>
      <c r="BS66" t="s">
        <v>33</v>
      </c>
      <c r="BT66" t="s">
        <v>33</v>
      </c>
      <c r="BU66" t="s">
        <v>33</v>
      </c>
      <c r="BV66" t="s">
        <v>33</v>
      </c>
      <c r="BW66" t="s">
        <v>33</v>
      </c>
      <c r="BX66" t="s">
        <v>33</v>
      </c>
      <c r="BY66" t="s">
        <v>33</v>
      </c>
      <c r="BZ66" t="s">
        <v>33</v>
      </c>
      <c r="CA66" t="s">
        <v>33</v>
      </c>
      <c r="CB66" t="s">
        <v>33</v>
      </c>
      <c r="CC66" t="s">
        <v>33</v>
      </c>
      <c r="CD66" t="s">
        <v>33</v>
      </c>
      <c r="CE66" t="s">
        <v>33</v>
      </c>
      <c r="CF66" t="s">
        <v>33</v>
      </c>
      <c r="CG66" t="s">
        <v>33</v>
      </c>
      <c r="CI66">
        <f t="shared" si="2"/>
        <v>0.72759757129447733</v>
      </c>
      <c r="CJ66">
        <f t="shared" si="0"/>
        <v>0</v>
      </c>
      <c r="CK66">
        <f t="shared" si="1"/>
        <v>0</v>
      </c>
    </row>
    <row r="67" spans="1:89" x14ac:dyDescent="0.25">
      <c r="A67" t="s">
        <v>80</v>
      </c>
      <c r="B67" t="s">
        <v>72</v>
      </c>
      <c r="C67" s="2">
        <v>9</v>
      </c>
      <c r="D67" s="2">
        <v>2</v>
      </c>
      <c r="E67" s="2">
        <v>2</v>
      </c>
      <c r="F67" s="2">
        <v>2</v>
      </c>
      <c r="G67" s="2">
        <v>2</v>
      </c>
      <c r="H67" t="s">
        <v>33</v>
      </c>
      <c r="I67" t="s">
        <v>33</v>
      </c>
      <c r="J67">
        <v>1</v>
      </c>
      <c r="K67" t="s">
        <v>33</v>
      </c>
      <c r="L67">
        <v>0.46153846153846101</v>
      </c>
      <c r="M67">
        <v>1</v>
      </c>
      <c r="N67" t="s">
        <v>33</v>
      </c>
      <c r="O67">
        <v>0.46315789473684199</v>
      </c>
      <c r="P67" t="s">
        <v>33</v>
      </c>
      <c r="Q67" t="s">
        <v>33</v>
      </c>
      <c r="R67" t="s">
        <v>33</v>
      </c>
      <c r="S67" t="s">
        <v>33</v>
      </c>
      <c r="T67">
        <v>0.28684333273403001</v>
      </c>
      <c r="U67" t="s">
        <v>33</v>
      </c>
      <c r="V67" t="s">
        <v>33</v>
      </c>
      <c r="W67" t="s">
        <v>33</v>
      </c>
      <c r="X67" t="s">
        <v>33</v>
      </c>
      <c r="Y67" t="s">
        <v>33</v>
      </c>
      <c r="Z67" t="s">
        <v>33</v>
      </c>
      <c r="AA67" t="s">
        <v>33</v>
      </c>
      <c r="AB67">
        <v>0.58156444410109698</v>
      </c>
      <c r="AC67">
        <v>0.29102780341524898</v>
      </c>
      <c r="AD67" t="s">
        <v>33</v>
      </c>
      <c r="AE67" t="s">
        <v>33</v>
      </c>
      <c r="AF67" t="s">
        <v>33</v>
      </c>
      <c r="AG67" t="s">
        <v>33</v>
      </c>
      <c r="AH67">
        <v>0.93614370640686295</v>
      </c>
      <c r="AI67">
        <v>0.985611510791366</v>
      </c>
      <c r="AJ67" t="s">
        <v>33</v>
      </c>
      <c r="AK67">
        <v>0.668855323769869</v>
      </c>
      <c r="AL67">
        <v>1</v>
      </c>
      <c r="AM67" t="s">
        <v>33</v>
      </c>
      <c r="AN67" t="s">
        <v>33</v>
      </c>
      <c r="AO67" t="s">
        <v>33</v>
      </c>
      <c r="AP67" t="s">
        <v>33</v>
      </c>
      <c r="AQ67" t="s">
        <v>33</v>
      </c>
      <c r="AR67" t="s">
        <v>33</v>
      </c>
      <c r="AS67" t="s">
        <v>33</v>
      </c>
      <c r="AT67" t="s">
        <v>33</v>
      </c>
      <c r="AU67" t="s">
        <v>33</v>
      </c>
      <c r="AV67" t="s">
        <v>33</v>
      </c>
      <c r="AW67">
        <v>0</v>
      </c>
      <c r="AX67">
        <v>0</v>
      </c>
      <c r="AY67" t="s">
        <v>33</v>
      </c>
      <c r="AZ67" t="s">
        <v>33</v>
      </c>
      <c r="BA67" t="s">
        <v>33</v>
      </c>
      <c r="BB67" t="s">
        <v>33</v>
      </c>
      <c r="BC67" t="s">
        <v>33</v>
      </c>
      <c r="BD67">
        <v>0.947712418300653</v>
      </c>
      <c r="BE67" t="s">
        <v>33</v>
      </c>
      <c r="BF67">
        <v>0.65193948903601595</v>
      </c>
      <c r="BG67" t="s">
        <v>33</v>
      </c>
      <c r="BH67" t="s">
        <v>33</v>
      </c>
      <c r="BI67" t="s">
        <v>33</v>
      </c>
      <c r="BJ67">
        <v>0.625</v>
      </c>
      <c r="BK67" t="s">
        <v>33</v>
      </c>
      <c r="BL67" t="s">
        <v>33</v>
      </c>
      <c r="BM67">
        <v>0.89743589743589702</v>
      </c>
      <c r="BN67" t="s">
        <v>33</v>
      </c>
      <c r="BO67" t="s">
        <v>33</v>
      </c>
      <c r="BP67">
        <v>1</v>
      </c>
      <c r="BQ67" t="s">
        <v>33</v>
      </c>
      <c r="BR67" t="s">
        <v>33</v>
      </c>
      <c r="BS67" t="s">
        <v>33</v>
      </c>
      <c r="BT67" t="s">
        <v>33</v>
      </c>
      <c r="BU67" t="s">
        <v>33</v>
      </c>
      <c r="BV67" t="s">
        <v>33</v>
      </c>
      <c r="BW67">
        <v>0.93548149030113903</v>
      </c>
      <c r="BX67" t="s">
        <v>33</v>
      </c>
      <c r="BY67">
        <v>0.92592592592592504</v>
      </c>
      <c r="BZ67">
        <v>0.67567567567567499</v>
      </c>
      <c r="CA67" t="s">
        <v>33</v>
      </c>
      <c r="CB67" t="s">
        <v>33</v>
      </c>
      <c r="CC67" t="s">
        <v>33</v>
      </c>
      <c r="CD67" t="s">
        <v>33</v>
      </c>
      <c r="CE67" t="s">
        <v>33</v>
      </c>
      <c r="CF67">
        <v>0.99960574483005904</v>
      </c>
      <c r="CG67" t="s">
        <v>33</v>
      </c>
      <c r="CI67">
        <f t="shared" si="2"/>
        <v>0.74432853004872213</v>
      </c>
      <c r="CJ67">
        <f t="shared" ref="CJ67:CJ100" si="3">IFERROR(AVERAGE(BS67,BF67,BE67,BC67,AX67,AW67,AV67,AT67,AS67,AP67,AN67,AM67,AL67,AE67,AD67,AB67,Y67,W67),)</f>
        <v>0.44670078662742263</v>
      </c>
      <c r="CK67">
        <f t="shared" ref="CK67:CK100" si="4">IFERROR(AVERAGE(BK67,BL67,BN67,BU67,BV67,BW67,BX67,CA67,CE67,CF67),0)</f>
        <v>0.96754361756559903</v>
      </c>
    </row>
    <row r="68" spans="1:89" x14ac:dyDescent="0.25">
      <c r="A68" t="s">
        <v>66</v>
      </c>
      <c r="B68" t="s">
        <v>87</v>
      </c>
      <c r="C68" s="2">
        <v>10</v>
      </c>
      <c r="D68" s="2">
        <v>2</v>
      </c>
      <c r="E68" s="2">
        <v>2</v>
      </c>
      <c r="F68" s="2">
        <v>2</v>
      </c>
      <c r="G68" s="2">
        <v>2</v>
      </c>
      <c r="H68" t="s">
        <v>33</v>
      </c>
      <c r="I68" t="s">
        <v>33</v>
      </c>
      <c r="J68" t="s">
        <v>33</v>
      </c>
      <c r="K68" t="s">
        <v>33</v>
      </c>
      <c r="L68" t="s">
        <v>33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33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33</v>
      </c>
      <c r="Y68" t="s">
        <v>33</v>
      </c>
      <c r="Z68" t="s">
        <v>33</v>
      </c>
      <c r="AA68" t="s">
        <v>33</v>
      </c>
      <c r="AB68" t="s">
        <v>33</v>
      </c>
      <c r="AC68">
        <v>0.64440157921722496</v>
      </c>
      <c r="AD68" t="s">
        <v>33</v>
      </c>
      <c r="AE68">
        <v>0.91814362221546497</v>
      </c>
      <c r="AF68" t="s">
        <v>33</v>
      </c>
      <c r="AG68" t="s">
        <v>33</v>
      </c>
      <c r="AH68">
        <v>0.95135135135135096</v>
      </c>
      <c r="AI68">
        <v>0.87878787878787801</v>
      </c>
      <c r="AJ68" t="s">
        <v>33</v>
      </c>
      <c r="AK68" t="s">
        <v>33</v>
      </c>
      <c r="AL68">
        <v>0.52716861607973198</v>
      </c>
      <c r="AM68">
        <v>1</v>
      </c>
      <c r="AN68" t="s">
        <v>33</v>
      </c>
      <c r="AO68" t="s">
        <v>33</v>
      </c>
      <c r="AP68" t="s">
        <v>33</v>
      </c>
      <c r="AQ68" t="s">
        <v>33</v>
      </c>
      <c r="AR68">
        <v>0.76237623762376205</v>
      </c>
      <c r="AS68" t="s">
        <v>33</v>
      </c>
      <c r="AT68" t="s">
        <v>33</v>
      </c>
      <c r="AU68" t="s">
        <v>33</v>
      </c>
      <c r="AV68" t="s">
        <v>33</v>
      </c>
      <c r="AW68">
        <v>0</v>
      </c>
      <c r="AX68">
        <v>0</v>
      </c>
      <c r="AY68">
        <v>0.73333333333333295</v>
      </c>
      <c r="AZ68" t="s">
        <v>33</v>
      </c>
      <c r="BA68" t="s">
        <v>33</v>
      </c>
      <c r="BB68" t="s">
        <v>33</v>
      </c>
      <c r="BC68" t="s">
        <v>33</v>
      </c>
      <c r="BD68">
        <v>0.80821917808219101</v>
      </c>
      <c r="BE68">
        <v>0.72795076343986598</v>
      </c>
      <c r="BF68">
        <v>0.423912172305209</v>
      </c>
      <c r="BG68" t="s">
        <v>33</v>
      </c>
      <c r="BH68" t="s">
        <v>33</v>
      </c>
      <c r="BI68" t="s">
        <v>33</v>
      </c>
      <c r="BJ68" t="s">
        <v>33</v>
      </c>
      <c r="BK68" t="s">
        <v>33</v>
      </c>
      <c r="BL68">
        <v>0.97602705665508804</v>
      </c>
      <c r="BM68" t="s">
        <v>33</v>
      </c>
      <c r="BN68">
        <v>0.41994166666666599</v>
      </c>
      <c r="BO68" t="s">
        <v>33</v>
      </c>
      <c r="BP68">
        <v>0.76744186046511598</v>
      </c>
      <c r="BQ68" t="s">
        <v>33</v>
      </c>
      <c r="BR68" t="s">
        <v>33</v>
      </c>
      <c r="BS68">
        <v>0.483612926670347</v>
      </c>
      <c r="BT68" t="s">
        <v>33</v>
      </c>
      <c r="BU68" t="s">
        <v>33</v>
      </c>
      <c r="BV68" t="s">
        <v>33</v>
      </c>
      <c r="BW68" t="s">
        <v>33</v>
      </c>
      <c r="BX68" t="s">
        <v>33</v>
      </c>
      <c r="BY68" t="s">
        <v>33</v>
      </c>
      <c r="BZ68" t="s">
        <v>33</v>
      </c>
      <c r="CA68">
        <v>0.99159797389412596</v>
      </c>
      <c r="CB68">
        <v>0.90322580645161199</v>
      </c>
      <c r="CC68">
        <v>0.9</v>
      </c>
      <c r="CD68" t="s">
        <v>33</v>
      </c>
      <c r="CE68" t="s">
        <v>33</v>
      </c>
      <c r="CF68" t="s">
        <v>33</v>
      </c>
      <c r="CG68">
        <v>0.92105263157894701</v>
      </c>
      <c r="CI68">
        <f t="shared" ref="CI68:CI100" si="5">IFERROR(AVERAGE(CG68,CD68,CC68,CB68,BZ68,BY68,BT68,BR68,BQ68,BP68,BO68,BM68,BJ68,BI68,BH68,BG68,BD68,BB68,BA68,AZ68,AY68,AU68,AR68,AQ68,AO68,AK68,AJ68,AI68,AH68,AG68,AF68,AC68,AA68,Z68,X68,V68,U68,T68,S68,R68,Q68,P68,O68,N68,M68,L68,K68,J68,I68,H68),0)</f>
        <v>0.82701898568914145</v>
      </c>
      <c r="CJ68">
        <f t="shared" si="3"/>
        <v>0.51009851258882732</v>
      </c>
      <c r="CK68">
        <f t="shared" si="4"/>
        <v>0.79585556573862659</v>
      </c>
    </row>
    <row r="69" spans="1:89" x14ac:dyDescent="0.25">
      <c r="A69" t="s">
        <v>127</v>
      </c>
      <c r="B69">
        <v>1</v>
      </c>
      <c r="C69" s="2">
        <v>10</v>
      </c>
      <c r="D69" s="2">
        <v>3</v>
      </c>
      <c r="E69" s="2">
        <v>3</v>
      </c>
      <c r="F69" s="2">
        <v>3</v>
      </c>
      <c r="G69" s="2">
        <v>3</v>
      </c>
      <c r="H69" t="s">
        <v>33</v>
      </c>
      <c r="I69" t="s">
        <v>33</v>
      </c>
      <c r="J69" t="s">
        <v>33</v>
      </c>
      <c r="K69" t="s">
        <v>33</v>
      </c>
      <c r="L69" t="s">
        <v>33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33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33</v>
      </c>
      <c r="Y69" t="s">
        <v>33</v>
      </c>
      <c r="Z69" t="s">
        <v>33</v>
      </c>
      <c r="AA69">
        <v>1</v>
      </c>
      <c r="AB69" t="s">
        <v>33</v>
      </c>
      <c r="AC69" t="s">
        <v>33</v>
      </c>
      <c r="AD69" t="s">
        <v>33</v>
      </c>
      <c r="AE69" t="s">
        <v>33</v>
      </c>
      <c r="AF69" t="s">
        <v>33</v>
      </c>
      <c r="AG69" t="s">
        <v>33</v>
      </c>
      <c r="AH69" t="s">
        <v>33</v>
      </c>
      <c r="AI69" t="s">
        <v>33</v>
      </c>
      <c r="AJ69" t="s">
        <v>33</v>
      </c>
      <c r="AK69" t="s">
        <v>33</v>
      </c>
      <c r="AL69" t="s">
        <v>33</v>
      </c>
      <c r="AM69" t="s">
        <v>33</v>
      </c>
      <c r="AN69" t="s">
        <v>33</v>
      </c>
      <c r="AO69" t="s">
        <v>33</v>
      </c>
      <c r="AP69">
        <v>1</v>
      </c>
      <c r="AQ69" t="s">
        <v>33</v>
      </c>
      <c r="AR69">
        <v>0.35</v>
      </c>
      <c r="AS69" t="s">
        <v>33</v>
      </c>
      <c r="AT69" t="s">
        <v>33</v>
      </c>
      <c r="AU69" t="s">
        <v>33</v>
      </c>
      <c r="AV69">
        <v>0.15138236559538501</v>
      </c>
      <c r="AW69" t="s">
        <v>33</v>
      </c>
      <c r="AX69" t="s">
        <v>33</v>
      </c>
      <c r="AY69" t="s">
        <v>33</v>
      </c>
      <c r="AZ69" t="s">
        <v>33</v>
      </c>
      <c r="BA69" t="s">
        <v>33</v>
      </c>
      <c r="BB69" t="s">
        <v>33</v>
      </c>
      <c r="BC69" t="s">
        <v>33</v>
      </c>
      <c r="BD69" t="s">
        <v>33</v>
      </c>
      <c r="BE69" t="s">
        <v>33</v>
      </c>
      <c r="BF69">
        <v>0.471440634203106</v>
      </c>
      <c r="BG69" t="s">
        <v>33</v>
      </c>
      <c r="BH69" t="s">
        <v>33</v>
      </c>
      <c r="BI69" t="s">
        <v>33</v>
      </c>
      <c r="BJ69" t="s">
        <v>33</v>
      </c>
      <c r="BK69" t="s">
        <v>33</v>
      </c>
      <c r="BL69" t="s">
        <v>33</v>
      </c>
      <c r="BM69" t="s">
        <v>33</v>
      </c>
      <c r="BN69" t="s">
        <v>33</v>
      </c>
      <c r="BO69" t="s">
        <v>33</v>
      </c>
      <c r="BP69" t="s">
        <v>33</v>
      </c>
      <c r="BQ69" t="s">
        <v>33</v>
      </c>
      <c r="BR69" t="s">
        <v>33</v>
      </c>
      <c r="BS69">
        <v>1</v>
      </c>
      <c r="BT69" t="s">
        <v>33</v>
      </c>
      <c r="BU69" t="s">
        <v>33</v>
      </c>
      <c r="BV69">
        <v>0.93331907571373895</v>
      </c>
      <c r="BW69">
        <v>0.60797101449275304</v>
      </c>
      <c r="BX69" t="s">
        <v>33</v>
      </c>
      <c r="BY69" t="s">
        <v>33</v>
      </c>
      <c r="BZ69" t="s">
        <v>33</v>
      </c>
      <c r="CA69" t="s">
        <v>33</v>
      </c>
      <c r="CB69" t="s">
        <v>33</v>
      </c>
      <c r="CC69" t="s">
        <v>33</v>
      </c>
      <c r="CD69" t="s">
        <v>33</v>
      </c>
      <c r="CE69" t="s">
        <v>33</v>
      </c>
      <c r="CF69" t="s">
        <v>33</v>
      </c>
      <c r="CG69" t="s">
        <v>33</v>
      </c>
      <c r="CI69">
        <f t="shared" si="5"/>
        <v>0.67500000000000004</v>
      </c>
      <c r="CJ69">
        <f t="shared" si="3"/>
        <v>0.65570574994962272</v>
      </c>
      <c r="CK69">
        <f t="shared" si="4"/>
        <v>0.77064504510324605</v>
      </c>
    </row>
    <row r="70" spans="1:89" x14ac:dyDescent="0.25">
      <c r="A70" t="s">
        <v>75</v>
      </c>
      <c r="B70" t="s">
        <v>72</v>
      </c>
      <c r="C70" s="2">
        <v>8</v>
      </c>
      <c r="D70" s="2">
        <v>2</v>
      </c>
      <c r="E70" s="2">
        <v>2</v>
      </c>
      <c r="F70" s="2">
        <v>2</v>
      </c>
      <c r="G70" s="2">
        <v>2</v>
      </c>
      <c r="H70" t="s">
        <v>33</v>
      </c>
      <c r="I70" t="s">
        <v>33</v>
      </c>
      <c r="J70">
        <v>1</v>
      </c>
      <c r="K70" t="s">
        <v>33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33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33</v>
      </c>
      <c r="Y70" t="s">
        <v>33</v>
      </c>
      <c r="Z70" t="s">
        <v>33</v>
      </c>
      <c r="AA70" t="s">
        <v>33</v>
      </c>
      <c r="AB70" t="s">
        <v>33</v>
      </c>
      <c r="AC70">
        <v>0.42867920718233099</v>
      </c>
      <c r="AD70" t="s">
        <v>33</v>
      </c>
      <c r="AE70" t="s">
        <v>33</v>
      </c>
      <c r="AF70" t="s">
        <v>33</v>
      </c>
      <c r="AG70" t="s">
        <v>33</v>
      </c>
      <c r="AH70">
        <v>0.71794871794871795</v>
      </c>
      <c r="AI70">
        <v>0.95384615384615301</v>
      </c>
      <c r="AJ70" t="s">
        <v>33</v>
      </c>
      <c r="AK70" t="s">
        <v>33</v>
      </c>
      <c r="AL70" t="s">
        <v>33</v>
      </c>
      <c r="AM70" t="s">
        <v>33</v>
      </c>
      <c r="AN70" t="s">
        <v>33</v>
      </c>
      <c r="AO70" t="s">
        <v>33</v>
      </c>
      <c r="AP70" t="s">
        <v>33</v>
      </c>
      <c r="AQ70" t="s">
        <v>33</v>
      </c>
      <c r="AR70" t="s">
        <v>33</v>
      </c>
      <c r="AS70" t="s">
        <v>33</v>
      </c>
      <c r="AT70" t="s">
        <v>33</v>
      </c>
      <c r="AU70" t="s">
        <v>33</v>
      </c>
      <c r="AV70" t="s">
        <v>33</v>
      </c>
      <c r="AW70" t="s">
        <v>33</v>
      </c>
      <c r="AX70">
        <v>0.30842154040731401</v>
      </c>
      <c r="AY70" t="s">
        <v>33</v>
      </c>
      <c r="AZ70" t="s">
        <v>33</v>
      </c>
      <c r="BA70" t="s">
        <v>33</v>
      </c>
      <c r="BB70" t="s">
        <v>33</v>
      </c>
      <c r="BC70" t="s">
        <v>33</v>
      </c>
      <c r="BD70">
        <v>0.81481481481481399</v>
      </c>
      <c r="BE70">
        <v>0</v>
      </c>
      <c r="BF70">
        <v>5.6125013396483202E-2</v>
      </c>
      <c r="BG70" t="s">
        <v>33</v>
      </c>
      <c r="BH70" t="s">
        <v>33</v>
      </c>
      <c r="BI70" t="s">
        <v>33</v>
      </c>
      <c r="BJ70">
        <v>0.57142857142857095</v>
      </c>
      <c r="BK70" t="s">
        <v>33</v>
      </c>
      <c r="BL70" t="s">
        <v>33</v>
      </c>
      <c r="BM70">
        <v>0.625</v>
      </c>
      <c r="BN70">
        <v>0.88482361019448996</v>
      </c>
      <c r="BO70" t="s">
        <v>33</v>
      </c>
      <c r="BP70">
        <v>0.95522388059701402</v>
      </c>
      <c r="BQ70" t="s">
        <v>33</v>
      </c>
      <c r="BR70" t="s">
        <v>33</v>
      </c>
      <c r="BS70">
        <v>0</v>
      </c>
      <c r="BT70" t="s">
        <v>33</v>
      </c>
      <c r="BU70" t="s">
        <v>33</v>
      </c>
      <c r="BV70" t="s">
        <v>33</v>
      </c>
      <c r="BW70">
        <v>0.98077744918574195</v>
      </c>
      <c r="BX70" t="s">
        <v>33</v>
      </c>
      <c r="BY70">
        <v>0.90909090909090895</v>
      </c>
      <c r="BZ70">
        <v>1</v>
      </c>
      <c r="CA70" t="s">
        <v>33</v>
      </c>
      <c r="CB70" t="s">
        <v>33</v>
      </c>
      <c r="CC70" t="s">
        <v>33</v>
      </c>
      <c r="CD70" t="s">
        <v>33</v>
      </c>
      <c r="CE70" t="s">
        <v>33</v>
      </c>
      <c r="CF70">
        <v>0.99857070015856497</v>
      </c>
      <c r="CG70" t="s">
        <v>33</v>
      </c>
      <c r="CI70">
        <f t="shared" si="5"/>
        <v>0.79760322549085094</v>
      </c>
      <c r="CJ70">
        <f t="shared" si="3"/>
        <v>9.1136638450949298E-2</v>
      </c>
      <c r="CK70">
        <f t="shared" si="4"/>
        <v>0.9547239198462657</v>
      </c>
    </row>
    <row r="71" spans="1:89" x14ac:dyDescent="0.25">
      <c r="A71" t="s">
        <v>62</v>
      </c>
      <c r="B71">
        <v>1</v>
      </c>
      <c r="C71" s="2">
        <v>5</v>
      </c>
      <c r="D71" s="2">
        <v>1</v>
      </c>
      <c r="E71" s="2">
        <v>3</v>
      </c>
      <c r="F71" s="2">
        <v>1</v>
      </c>
      <c r="G71" s="2">
        <v>2</v>
      </c>
      <c r="H71" t="s">
        <v>33</v>
      </c>
      <c r="I71" t="s">
        <v>33</v>
      </c>
      <c r="J71" t="s">
        <v>33</v>
      </c>
      <c r="K71" t="s">
        <v>33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33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33</v>
      </c>
      <c r="Y71" t="s">
        <v>33</v>
      </c>
      <c r="Z71" t="s">
        <v>33</v>
      </c>
      <c r="AA71">
        <v>0.29117746483187801</v>
      </c>
      <c r="AB71" t="s">
        <v>33</v>
      </c>
      <c r="AC71" t="s">
        <v>33</v>
      </c>
      <c r="AD71" t="s">
        <v>33</v>
      </c>
      <c r="AE71" t="s">
        <v>33</v>
      </c>
      <c r="AF71" t="s">
        <v>33</v>
      </c>
      <c r="AG71" t="s">
        <v>33</v>
      </c>
      <c r="AH71" t="s">
        <v>33</v>
      </c>
      <c r="AI71" t="s">
        <v>33</v>
      </c>
      <c r="AJ71" t="s">
        <v>33</v>
      </c>
      <c r="AK71" t="s">
        <v>33</v>
      </c>
      <c r="AL71" t="s">
        <v>33</v>
      </c>
      <c r="AM71" t="s">
        <v>33</v>
      </c>
      <c r="AN71" t="s">
        <v>33</v>
      </c>
      <c r="AO71" t="s">
        <v>33</v>
      </c>
      <c r="AP71" t="s">
        <v>33</v>
      </c>
      <c r="AQ71" t="s">
        <v>33</v>
      </c>
      <c r="AR71">
        <v>0.18421052631578899</v>
      </c>
      <c r="AS71" t="s">
        <v>33</v>
      </c>
      <c r="AT71" t="s">
        <v>33</v>
      </c>
      <c r="AU71" t="s">
        <v>33</v>
      </c>
      <c r="AV71">
        <v>0.26295758927505197</v>
      </c>
      <c r="AW71" t="s">
        <v>33</v>
      </c>
      <c r="AX71" t="s">
        <v>33</v>
      </c>
      <c r="AY71" t="s">
        <v>33</v>
      </c>
      <c r="AZ71" t="s">
        <v>33</v>
      </c>
      <c r="BA71" t="s">
        <v>33</v>
      </c>
      <c r="BB71" t="s">
        <v>33</v>
      </c>
      <c r="BC71" t="s">
        <v>33</v>
      </c>
      <c r="BD71" t="s">
        <v>33</v>
      </c>
      <c r="BE71" t="s">
        <v>33</v>
      </c>
      <c r="BF71">
        <v>0.83563525855536303</v>
      </c>
      <c r="BG71" t="s">
        <v>33</v>
      </c>
      <c r="BH71" t="s">
        <v>33</v>
      </c>
      <c r="BI71" t="s">
        <v>33</v>
      </c>
      <c r="BJ71" t="s">
        <v>33</v>
      </c>
      <c r="BK71" t="s">
        <v>33</v>
      </c>
      <c r="BL71" t="s">
        <v>33</v>
      </c>
      <c r="BM71" t="s">
        <v>33</v>
      </c>
      <c r="BN71" t="s">
        <v>33</v>
      </c>
      <c r="BO71" t="s">
        <v>33</v>
      </c>
      <c r="BP71" t="s">
        <v>33</v>
      </c>
      <c r="BQ71" t="s">
        <v>33</v>
      </c>
      <c r="BR71" t="s">
        <v>33</v>
      </c>
      <c r="BS71" t="s">
        <v>33</v>
      </c>
      <c r="BT71" t="s">
        <v>33</v>
      </c>
      <c r="BU71" t="s">
        <v>33</v>
      </c>
      <c r="BV71">
        <v>0.87231720046047301</v>
      </c>
      <c r="BW71">
        <v>0.36862745098039201</v>
      </c>
      <c r="BX71" t="s">
        <v>33</v>
      </c>
      <c r="BY71" t="s">
        <v>33</v>
      </c>
      <c r="BZ71" t="s">
        <v>33</v>
      </c>
      <c r="CA71" t="s">
        <v>33</v>
      </c>
      <c r="CB71" t="s">
        <v>33</v>
      </c>
      <c r="CC71" t="s">
        <v>33</v>
      </c>
      <c r="CD71" t="s">
        <v>33</v>
      </c>
      <c r="CE71" t="s">
        <v>33</v>
      </c>
      <c r="CF71" t="s">
        <v>33</v>
      </c>
      <c r="CG71" t="s">
        <v>33</v>
      </c>
      <c r="CI71">
        <f t="shared" si="5"/>
        <v>0.2376939955738335</v>
      </c>
      <c r="CJ71">
        <f t="shared" si="3"/>
        <v>0.5492964239152075</v>
      </c>
      <c r="CK71">
        <f t="shared" si="4"/>
        <v>0.62047232572043254</v>
      </c>
    </row>
    <row r="72" spans="1:89" x14ac:dyDescent="0.25">
      <c r="A72" t="s">
        <v>96</v>
      </c>
      <c r="B72" t="s">
        <v>87</v>
      </c>
      <c r="C72" s="2">
        <v>2</v>
      </c>
      <c r="D72" s="2">
        <v>2</v>
      </c>
      <c r="E72" s="2">
        <v>1</v>
      </c>
      <c r="F72" s="2">
        <v>2</v>
      </c>
      <c r="G72" s="2">
        <v>1</v>
      </c>
      <c r="H72" t="s">
        <v>33</v>
      </c>
      <c r="I72" t="s">
        <v>33</v>
      </c>
      <c r="J72" t="s">
        <v>33</v>
      </c>
      <c r="K72">
        <v>1</v>
      </c>
      <c r="L72">
        <v>1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33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33</v>
      </c>
      <c r="Y72" t="s">
        <v>33</v>
      </c>
      <c r="Z72" t="s">
        <v>33</v>
      </c>
      <c r="AA72" t="s">
        <v>33</v>
      </c>
      <c r="AB72">
        <v>1</v>
      </c>
      <c r="AC72">
        <v>0.46790322045465799</v>
      </c>
      <c r="AD72" t="s">
        <v>33</v>
      </c>
      <c r="AE72" t="s">
        <v>33</v>
      </c>
      <c r="AF72">
        <v>0.42789533155394999</v>
      </c>
      <c r="AG72" t="s">
        <v>33</v>
      </c>
      <c r="AH72" t="s">
        <v>33</v>
      </c>
      <c r="AI72">
        <v>0.76299427498609695</v>
      </c>
      <c r="AJ72" t="s">
        <v>33</v>
      </c>
      <c r="AK72" t="s">
        <v>33</v>
      </c>
      <c r="AL72">
        <v>1</v>
      </c>
      <c r="AM72" t="s">
        <v>33</v>
      </c>
      <c r="AN72" t="s">
        <v>33</v>
      </c>
      <c r="AO72" t="s">
        <v>33</v>
      </c>
      <c r="AP72" t="s">
        <v>33</v>
      </c>
      <c r="AQ72" t="s">
        <v>33</v>
      </c>
      <c r="AR72">
        <v>0.75364489794587097</v>
      </c>
      <c r="AS72" t="s">
        <v>33</v>
      </c>
      <c r="AT72" t="s">
        <v>33</v>
      </c>
      <c r="AU72" t="s">
        <v>33</v>
      </c>
      <c r="AV72" t="s">
        <v>33</v>
      </c>
      <c r="AW72" t="s">
        <v>33</v>
      </c>
      <c r="AX72" t="s">
        <v>33</v>
      </c>
      <c r="AY72" t="s">
        <v>33</v>
      </c>
      <c r="AZ72" t="s">
        <v>33</v>
      </c>
      <c r="BA72" t="s">
        <v>33</v>
      </c>
      <c r="BB72" t="s">
        <v>33</v>
      </c>
      <c r="BC72" t="s">
        <v>33</v>
      </c>
      <c r="BD72">
        <v>0.79710144927536197</v>
      </c>
      <c r="BE72">
        <v>0</v>
      </c>
      <c r="BF72">
        <v>0.21976412735134601</v>
      </c>
      <c r="BG72" t="s">
        <v>33</v>
      </c>
      <c r="BH72" t="s">
        <v>33</v>
      </c>
      <c r="BI72" t="s">
        <v>33</v>
      </c>
      <c r="BJ72" t="s">
        <v>33</v>
      </c>
      <c r="BK72">
        <v>1</v>
      </c>
      <c r="BL72">
        <v>0.729842637008288</v>
      </c>
      <c r="BM72" t="s">
        <v>33</v>
      </c>
      <c r="BN72">
        <v>0.68668714285714205</v>
      </c>
      <c r="BO72" t="s">
        <v>33</v>
      </c>
      <c r="BP72">
        <v>0.64457831325301196</v>
      </c>
      <c r="BQ72" t="s">
        <v>33</v>
      </c>
      <c r="BR72" t="s">
        <v>33</v>
      </c>
      <c r="BS72">
        <v>0.80054681322980503</v>
      </c>
      <c r="BT72" t="s">
        <v>33</v>
      </c>
      <c r="BU72" t="s">
        <v>33</v>
      </c>
      <c r="BV72" t="s">
        <v>33</v>
      </c>
      <c r="BW72" t="s">
        <v>33</v>
      </c>
      <c r="BX72">
        <v>0.57886111111111105</v>
      </c>
      <c r="BY72" t="s">
        <v>33</v>
      </c>
      <c r="BZ72" t="s">
        <v>33</v>
      </c>
      <c r="CA72">
        <v>0.98364125617918396</v>
      </c>
      <c r="CB72" t="s">
        <v>33</v>
      </c>
      <c r="CC72" t="s">
        <v>33</v>
      </c>
      <c r="CD72" t="s">
        <v>33</v>
      </c>
      <c r="CE72" t="s">
        <v>33</v>
      </c>
      <c r="CF72" t="s">
        <v>33</v>
      </c>
      <c r="CG72">
        <v>0.57142857142857095</v>
      </c>
      <c r="CI72">
        <f t="shared" si="5"/>
        <v>0.71394956209972449</v>
      </c>
      <c r="CJ72">
        <f t="shared" si="3"/>
        <v>0.60406218811623025</v>
      </c>
      <c r="CK72">
        <f t="shared" si="4"/>
        <v>0.79580642943114499</v>
      </c>
    </row>
    <row r="73" spans="1:89" x14ac:dyDescent="0.25">
      <c r="A73" t="s">
        <v>63</v>
      </c>
      <c r="B73" t="s">
        <v>87</v>
      </c>
      <c r="C73" s="2">
        <v>5</v>
      </c>
      <c r="D73" s="2">
        <v>2</v>
      </c>
      <c r="E73" s="2">
        <v>2</v>
      </c>
      <c r="F73" s="2">
        <v>3</v>
      </c>
      <c r="G73" s="2">
        <v>3</v>
      </c>
      <c r="H73" t="s">
        <v>33</v>
      </c>
      <c r="I73" t="s">
        <v>33</v>
      </c>
      <c r="J73" t="s">
        <v>33</v>
      </c>
      <c r="K73" t="s">
        <v>33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33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  <c r="X73" t="s">
        <v>33</v>
      </c>
      <c r="Y73" t="s">
        <v>33</v>
      </c>
      <c r="Z73" t="s">
        <v>33</v>
      </c>
      <c r="AA73" t="s">
        <v>33</v>
      </c>
      <c r="AB73" t="s">
        <v>33</v>
      </c>
      <c r="AC73">
        <v>0.67522932211996001</v>
      </c>
      <c r="AD73" t="s">
        <v>33</v>
      </c>
      <c r="AE73" t="s">
        <v>33</v>
      </c>
      <c r="AF73" t="s">
        <v>33</v>
      </c>
      <c r="AG73" t="s">
        <v>33</v>
      </c>
      <c r="AH73">
        <v>0.94736842105263097</v>
      </c>
      <c r="AI73">
        <v>0.94804895325622096</v>
      </c>
      <c r="AJ73" t="s">
        <v>33</v>
      </c>
      <c r="AK73">
        <v>1</v>
      </c>
      <c r="AL73">
        <v>0.40082134264727198</v>
      </c>
      <c r="AM73" t="s">
        <v>33</v>
      </c>
      <c r="AN73" t="s">
        <v>33</v>
      </c>
      <c r="AO73" t="s">
        <v>33</v>
      </c>
      <c r="AP73" t="s">
        <v>33</v>
      </c>
      <c r="AQ73" t="s">
        <v>33</v>
      </c>
      <c r="AR73">
        <v>0.66445320996475798</v>
      </c>
      <c r="AS73" t="s">
        <v>33</v>
      </c>
      <c r="AT73" t="s">
        <v>33</v>
      </c>
      <c r="AU73" t="s">
        <v>33</v>
      </c>
      <c r="AV73" t="s">
        <v>33</v>
      </c>
      <c r="AW73">
        <v>0</v>
      </c>
      <c r="AX73">
        <v>0</v>
      </c>
      <c r="AY73" t="s">
        <v>33</v>
      </c>
      <c r="AZ73" t="s">
        <v>33</v>
      </c>
      <c r="BA73" t="s">
        <v>33</v>
      </c>
      <c r="BB73" t="s">
        <v>33</v>
      </c>
      <c r="BC73" t="s">
        <v>33</v>
      </c>
      <c r="BD73">
        <v>0.82291666666666596</v>
      </c>
      <c r="BE73">
        <v>0</v>
      </c>
      <c r="BF73">
        <v>0.54630261776852895</v>
      </c>
      <c r="BG73" t="s">
        <v>33</v>
      </c>
      <c r="BH73" t="s">
        <v>33</v>
      </c>
      <c r="BI73" t="s">
        <v>33</v>
      </c>
      <c r="BJ73" t="s">
        <v>33</v>
      </c>
      <c r="BK73">
        <v>0.99691266678744395</v>
      </c>
      <c r="BL73">
        <v>0.97078508385920703</v>
      </c>
      <c r="BM73" t="s">
        <v>33</v>
      </c>
      <c r="BN73">
        <v>0.55825357142857102</v>
      </c>
      <c r="BO73" t="s">
        <v>33</v>
      </c>
      <c r="BP73">
        <v>0.83072773564132696</v>
      </c>
      <c r="BQ73" t="s">
        <v>33</v>
      </c>
      <c r="BR73" t="s">
        <v>33</v>
      </c>
      <c r="BS73">
        <v>1</v>
      </c>
      <c r="BT73" t="s">
        <v>33</v>
      </c>
      <c r="BU73" t="s">
        <v>33</v>
      </c>
      <c r="BV73" t="s">
        <v>33</v>
      </c>
      <c r="BW73" t="s">
        <v>33</v>
      </c>
      <c r="BX73">
        <v>0.77253106060606003</v>
      </c>
      <c r="BY73" t="s">
        <v>33</v>
      </c>
      <c r="BZ73" t="s">
        <v>33</v>
      </c>
      <c r="CA73">
        <v>0.89559042800682698</v>
      </c>
      <c r="CB73" t="s">
        <v>33</v>
      </c>
      <c r="CC73" t="s">
        <v>33</v>
      </c>
      <c r="CD73" t="s">
        <v>33</v>
      </c>
      <c r="CE73" t="s">
        <v>33</v>
      </c>
      <c r="CF73" t="s">
        <v>33</v>
      </c>
      <c r="CG73">
        <v>1</v>
      </c>
      <c r="CI73">
        <f t="shared" si="5"/>
        <v>0.86109303858769537</v>
      </c>
      <c r="CJ73">
        <f t="shared" si="3"/>
        <v>0.32452066006930019</v>
      </c>
      <c r="CK73">
        <f t="shared" si="4"/>
        <v>0.83881456213762173</v>
      </c>
    </row>
    <row r="74" spans="1:89" x14ac:dyDescent="0.25">
      <c r="A74" t="s">
        <v>128</v>
      </c>
      <c r="B74">
        <v>1</v>
      </c>
      <c r="C74" s="2">
        <v>10</v>
      </c>
      <c r="D74" s="2">
        <v>2</v>
      </c>
      <c r="E74" s="2">
        <v>3</v>
      </c>
      <c r="F74" s="2">
        <v>1</v>
      </c>
      <c r="G74" s="2">
        <v>2</v>
      </c>
      <c r="H74" t="s">
        <v>33</v>
      </c>
      <c r="I74" t="s">
        <v>33</v>
      </c>
      <c r="J74" t="s">
        <v>33</v>
      </c>
      <c r="K74" t="s">
        <v>33</v>
      </c>
      <c r="L74" t="s">
        <v>33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33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33</v>
      </c>
      <c r="Y74" t="s">
        <v>33</v>
      </c>
      <c r="Z74" t="s">
        <v>33</v>
      </c>
      <c r="AA74">
        <v>0.49446572489997198</v>
      </c>
      <c r="AB74" t="s">
        <v>33</v>
      </c>
      <c r="AC74" t="s">
        <v>33</v>
      </c>
      <c r="AD74" t="s">
        <v>33</v>
      </c>
      <c r="AE74" t="s">
        <v>33</v>
      </c>
      <c r="AF74" t="s">
        <v>33</v>
      </c>
      <c r="AG74" t="s">
        <v>33</v>
      </c>
      <c r="AH74" t="s">
        <v>33</v>
      </c>
      <c r="AI74" t="s">
        <v>33</v>
      </c>
      <c r="AJ74" t="s">
        <v>33</v>
      </c>
      <c r="AK74" t="s">
        <v>33</v>
      </c>
      <c r="AL74" t="s">
        <v>33</v>
      </c>
      <c r="AM74" t="s">
        <v>33</v>
      </c>
      <c r="AN74" t="s">
        <v>33</v>
      </c>
      <c r="AO74" t="s">
        <v>33</v>
      </c>
      <c r="AP74">
        <v>1</v>
      </c>
      <c r="AQ74" t="s">
        <v>33</v>
      </c>
      <c r="AR74">
        <v>0.47728313475884998</v>
      </c>
      <c r="AS74" t="s">
        <v>33</v>
      </c>
      <c r="AT74" t="s">
        <v>33</v>
      </c>
      <c r="AU74" t="s">
        <v>33</v>
      </c>
      <c r="AV74" t="s">
        <v>33</v>
      </c>
      <c r="AW74" t="s">
        <v>33</v>
      </c>
      <c r="AX74" t="s">
        <v>33</v>
      </c>
      <c r="AY74" t="s">
        <v>33</v>
      </c>
      <c r="AZ74" t="s">
        <v>33</v>
      </c>
      <c r="BA74" t="s">
        <v>33</v>
      </c>
      <c r="BB74" t="s">
        <v>33</v>
      </c>
      <c r="BC74" t="s">
        <v>33</v>
      </c>
      <c r="BD74" t="s">
        <v>33</v>
      </c>
      <c r="BE74" t="s">
        <v>33</v>
      </c>
      <c r="BF74">
        <v>0.79223034653129298</v>
      </c>
      <c r="BG74" t="s">
        <v>33</v>
      </c>
      <c r="BH74" t="s">
        <v>33</v>
      </c>
      <c r="BI74" t="s">
        <v>33</v>
      </c>
      <c r="BJ74" t="s">
        <v>33</v>
      </c>
      <c r="BK74" t="s">
        <v>33</v>
      </c>
      <c r="BL74" t="s">
        <v>33</v>
      </c>
      <c r="BM74" t="s">
        <v>33</v>
      </c>
      <c r="BN74" t="s">
        <v>33</v>
      </c>
      <c r="BO74" t="s">
        <v>33</v>
      </c>
      <c r="BP74" t="s">
        <v>33</v>
      </c>
      <c r="BQ74" t="s">
        <v>33</v>
      </c>
      <c r="BR74" t="s">
        <v>33</v>
      </c>
      <c r="BS74">
        <v>1</v>
      </c>
      <c r="BT74" t="s">
        <v>33</v>
      </c>
      <c r="BU74" t="s">
        <v>33</v>
      </c>
      <c r="BV74">
        <v>0.83478118003755697</v>
      </c>
      <c r="BW74">
        <v>0.79449999999999998</v>
      </c>
      <c r="BX74" t="s">
        <v>33</v>
      </c>
      <c r="BY74" t="s">
        <v>33</v>
      </c>
      <c r="BZ74" t="s">
        <v>33</v>
      </c>
      <c r="CA74" t="s">
        <v>33</v>
      </c>
      <c r="CB74" t="s">
        <v>33</v>
      </c>
      <c r="CC74" t="s">
        <v>33</v>
      </c>
      <c r="CD74" t="s">
        <v>33</v>
      </c>
      <c r="CE74" t="s">
        <v>33</v>
      </c>
      <c r="CF74" t="s">
        <v>33</v>
      </c>
      <c r="CG74" t="s">
        <v>33</v>
      </c>
      <c r="CI74">
        <f t="shared" si="5"/>
        <v>0.48587442982941098</v>
      </c>
      <c r="CJ74">
        <f t="shared" si="3"/>
        <v>0.93074344884376436</v>
      </c>
      <c r="CK74">
        <f t="shared" si="4"/>
        <v>0.81464059001877853</v>
      </c>
    </row>
    <row r="75" spans="1:89" x14ac:dyDescent="0.25">
      <c r="A75" t="s">
        <v>82</v>
      </c>
      <c r="B75" t="s">
        <v>72</v>
      </c>
      <c r="C75" s="2">
        <v>10</v>
      </c>
      <c r="D75" s="2">
        <v>2</v>
      </c>
      <c r="E75" s="2">
        <v>3</v>
      </c>
      <c r="F75" s="2">
        <v>3</v>
      </c>
      <c r="G75" s="2">
        <v>3</v>
      </c>
      <c r="H75" t="s">
        <v>33</v>
      </c>
      <c r="I75" t="s">
        <v>33</v>
      </c>
      <c r="J75">
        <v>1</v>
      </c>
      <c r="K75" t="s">
        <v>33</v>
      </c>
      <c r="L75">
        <v>0.68879412837637699</v>
      </c>
      <c r="M75">
        <v>0.76100628930817604</v>
      </c>
      <c r="N75" t="s">
        <v>33</v>
      </c>
      <c r="O75">
        <v>0.86956521739130399</v>
      </c>
      <c r="P75" t="s">
        <v>33</v>
      </c>
      <c r="Q75" t="s">
        <v>33</v>
      </c>
      <c r="R75" t="s">
        <v>33</v>
      </c>
      <c r="S75" t="s">
        <v>33</v>
      </c>
      <c r="T75">
        <v>0.73960962027800803</v>
      </c>
      <c r="U75" t="s">
        <v>33</v>
      </c>
      <c r="V75" t="s">
        <v>33</v>
      </c>
      <c r="W75" t="s">
        <v>33</v>
      </c>
      <c r="X75" t="s">
        <v>33</v>
      </c>
      <c r="Y75" t="s">
        <v>33</v>
      </c>
      <c r="Z75" t="s">
        <v>33</v>
      </c>
      <c r="AA75">
        <v>0.32206071277131698</v>
      </c>
      <c r="AB75" t="s">
        <v>33</v>
      </c>
      <c r="AC75">
        <v>0.59933711119887201</v>
      </c>
      <c r="AD75" t="s">
        <v>33</v>
      </c>
      <c r="AE75" t="s">
        <v>33</v>
      </c>
      <c r="AF75" t="s">
        <v>33</v>
      </c>
      <c r="AG75" t="s">
        <v>33</v>
      </c>
      <c r="AH75">
        <v>0.96214268689057303</v>
      </c>
      <c r="AI75">
        <v>0.7</v>
      </c>
      <c r="AJ75" t="s">
        <v>33</v>
      </c>
      <c r="AK75" t="s">
        <v>33</v>
      </c>
      <c r="AL75">
        <v>0.74641080802937698</v>
      </c>
      <c r="AM75" t="s">
        <v>33</v>
      </c>
      <c r="AN75" t="s">
        <v>33</v>
      </c>
      <c r="AO75" t="s">
        <v>33</v>
      </c>
      <c r="AP75" t="s">
        <v>33</v>
      </c>
      <c r="AQ75" t="s">
        <v>33</v>
      </c>
      <c r="AR75" t="s">
        <v>33</v>
      </c>
      <c r="AS75" t="s">
        <v>33</v>
      </c>
      <c r="AT75" t="s">
        <v>33</v>
      </c>
      <c r="AU75" t="s">
        <v>33</v>
      </c>
      <c r="AV75" t="s">
        <v>33</v>
      </c>
      <c r="AW75">
        <v>0</v>
      </c>
      <c r="AX75" t="s">
        <v>33</v>
      </c>
      <c r="AY75" t="s">
        <v>33</v>
      </c>
      <c r="AZ75" t="s">
        <v>33</v>
      </c>
      <c r="BA75" t="s">
        <v>33</v>
      </c>
      <c r="BB75" t="s">
        <v>33</v>
      </c>
      <c r="BC75" t="s">
        <v>33</v>
      </c>
      <c r="BD75">
        <v>0.837209302325581</v>
      </c>
      <c r="BE75">
        <v>1</v>
      </c>
      <c r="BF75">
        <v>1</v>
      </c>
      <c r="BG75" t="s">
        <v>33</v>
      </c>
      <c r="BH75" t="s">
        <v>33</v>
      </c>
      <c r="BI75" t="s">
        <v>33</v>
      </c>
      <c r="BJ75">
        <v>0.90909090909090895</v>
      </c>
      <c r="BK75" t="s">
        <v>33</v>
      </c>
      <c r="BL75" t="s">
        <v>33</v>
      </c>
      <c r="BM75" t="s">
        <v>33</v>
      </c>
      <c r="BN75">
        <v>0.77044964498868496</v>
      </c>
      <c r="BO75" t="s">
        <v>33</v>
      </c>
      <c r="BP75">
        <v>0.63970588235294101</v>
      </c>
      <c r="BQ75" t="s">
        <v>33</v>
      </c>
      <c r="BR75" t="s">
        <v>33</v>
      </c>
      <c r="BS75">
        <v>1</v>
      </c>
      <c r="BT75" t="s">
        <v>33</v>
      </c>
      <c r="BU75" t="s">
        <v>33</v>
      </c>
      <c r="BV75" t="s">
        <v>33</v>
      </c>
      <c r="BW75">
        <v>0.95350567408004006</v>
      </c>
      <c r="BX75" t="s">
        <v>33</v>
      </c>
      <c r="BY75">
        <v>0.88235294117647001</v>
      </c>
      <c r="BZ75">
        <v>0.45454545454545398</v>
      </c>
      <c r="CA75" t="s">
        <v>33</v>
      </c>
      <c r="CB75" t="s">
        <v>33</v>
      </c>
      <c r="CC75" t="s">
        <v>33</v>
      </c>
      <c r="CD75" t="s">
        <v>33</v>
      </c>
      <c r="CE75" t="s">
        <v>33</v>
      </c>
      <c r="CF75">
        <v>0.99872443503584996</v>
      </c>
      <c r="CG75" t="s">
        <v>33</v>
      </c>
      <c r="CI75">
        <f t="shared" si="5"/>
        <v>0.74038716112185587</v>
      </c>
      <c r="CJ75">
        <f t="shared" si="3"/>
        <v>0.74928216160587535</v>
      </c>
      <c r="CK75">
        <f t="shared" si="4"/>
        <v>0.90755991803485825</v>
      </c>
    </row>
    <row r="76" spans="1:89" x14ac:dyDescent="0.25">
      <c r="A76" t="s">
        <v>121</v>
      </c>
      <c r="B76">
        <v>1</v>
      </c>
      <c r="C76" s="2">
        <v>8</v>
      </c>
      <c r="D76" s="2">
        <v>3</v>
      </c>
      <c r="E76" s="2">
        <v>2</v>
      </c>
      <c r="F76" s="2">
        <v>2</v>
      </c>
      <c r="G76" s="2">
        <v>3</v>
      </c>
      <c r="H76" t="s">
        <v>33</v>
      </c>
      <c r="I76" t="s">
        <v>33</v>
      </c>
      <c r="J76" t="s">
        <v>33</v>
      </c>
      <c r="K76" t="s">
        <v>33</v>
      </c>
      <c r="L76" t="s">
        <v>33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33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33</v>
      </c>
      <c r="Y76" t="s">
        <v>33</v>
      </c>
      <c r="Z76" t="s">
        <v>33</v>
      </c>
      <c r="AA76">
        <v>0.56118165872814296</v>
      </c>
      <c r="AB76" t="s">
        <v>33</v>
      </c>
      <c r="AC76" t="s">
        <v>33</v>
      </c>
      <c r="AD76" t="s">
        <v>33</v>
      </c>
      <c r="AE76" t="s">
        <v>33</v>
      </c>
      <c r="AF76" t="s">
        <v>33</v>
      </c>
      <c r="AG76" t="s">
        <v>33</v>
      </c>
      <c r="AH76" t="s">
        <v>33</v>
      </c>
      <c r="AI76" t="s">
        <v>33</v>
      </c>
      <c r="AJ76" t="s">
        <v>33</v>
      </c>
      <c r="AK76" t="s">
        <v>33</v>
      </c>
      <c r="AL76" t="s">
        <v>33</v>
      </c>
      <c r="AM76" t="s">
        <v>33</v>
      </c>
      <c r="AN76" t="s">
        <v>33</v>
      </c>
      <c r="AO76" t="s">
        <v>33</v>
      </c>
      <c r="AP76">
        <v>1</v>
      </c>
      <c r="AQ76" t="s">
        <v>33</v>
      </c>
      <c r="AR76">
        <v>0.23529411764705799</v>
      </c>
      <c r="AS76">
        <v>1</v>
      </c>
      <c r="AT76" t="s">
        <v>33</v>
      </c>
      <c r="AU76" t="s">
        <v>33</v>
      </c>
      <c r="AV76">
        <v>1</v>
      </c>
      <c r="AW76">
        <v>0</v>
      </c>
      <c r="AX76" t="s">
        <v>33</v>
      </c>
      <c r="AY76" t="s">
        <v>33</v>
      </c>
      <c r="AZ76" t="s">
        <v>33</v>
      </c>
      <c r="BA76" t="s">
        <v>33</v>
      </c>
      <c r="BB76" t="s">
        <v>33</v>
      </c>
      <c r="BC76" t="s">
        <v>33</v>
      </c>
      <c r="BD76" t="s">
        <v>33</v>
      </c>
      <c r="BE76" t="s">
        <v>33</v>
      </c>
      <c r="BF76">
        <v>7.1021845219932198E-2</v>
      </c>
      <c r="BG76" t="s">
        <v>33</v>
      </c>
      <c r="BH76" t="s">
        <v>33</v>
      </c>
      <c r="BI76" t="s">
        <v>33</v>
      </c>
      <c r="BJ76" t="s">
        <v>33</v>
      </c>
      <c r="BK76" t="s">
        <v>33</v>
      </c>
      <c r="BL76" t="s">
        <v>33</v>
      </c>
      <c r="BM76" t="s">
        <v>33</v>
      </c>
      <c r="BN76" t="s">
        <v>33</v>
      </c>
      <c r="BO76" t="s">
        <v>33</v>
      </c>
      <c r="BP76" t="s">
        <v>33</v>
      </c>
      <c r="BQ76" t="s">
        <v>33</v>
      </c>
      <c r="BR76" t="s">
        <v>33</v>
      </c>
      <c r="BS76">
        <v>1</v>
      </c>
      <c r="BT76" t="s">
        <v>33</v>
      </c>
      <c r="BU76" t="s">
        <v>33</v>
      </c>
      <c r="BV76">
        <v>0.81520696696560802</v>
      </c>
      <c r="BW76">
        <v>0.53520178571428501</v>
      </c>
      <c r="BX76" t="s">
        <v>33</v>
      </c>
      <c r="BY76" t="s">
        <v>33</v>
      </c>
      <c r="BZ76" t="s">
        <v>33</v>
      </c>
      <c r="CA76" t="s">
        <v>33</v>
      </c>
      <c r="CB76" t="s">
        <v>33</v>
      </c>
      <c r="CC76" t="s">
        <v>33</v>
      </c>
      <c r="CD76" t="s">
        <v>33</v>
      </c>
      <c r="CE76" t="s">
        <v>33</v>
      </c>
      <c r="CF76" t="s">
        <v>33</v>
      </c>
      <c r="CG76" t="s">
        <v>33</v>
      </c>
      <c r="CI76">
        <f t="shared" si="5"/>
        <v>0.39823788818760048</v>
      </c>
      <c r="CJ76">
        <f t="shared" si="3"/>
        <v>0.67850364086998871</v>
      </c>
      <c r="CK76">
        <f t="shared" si="4"/>
        <v>0.67520437633994645</v>
      </c>
    </row>
    <row r="77" spans="1:89" x14ac:dyDescent="0.25">
      <c r="A77" t="s">
        <v>120</v>
      </c>
      <c r="B77">
        <v>1</v>
      </c>
      <c r="C77" s="2">
        <v>10</v>
      </c>
      <c r="D77" s="2">
        <v>3</v>
      </c>
      <c r="E77" s="2">
        <v>2</v>
      </c>
      <c r="F77" s="2">
        <v>2</v>
      </c>
      <c r="G77" s="2">
        <v>3</v>
      </c>
      <c r="H77" t="s">
        <v>33</v>
      </c>
      <c r="I77" t="s">
        <v>33</v>
      </c>
      <c r="J77" t="s">
        <v>33</v>
      </c>
      <c r="K77" t="s">
        <v>33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33</v>
      </c>
      <c r="S77" t="s">
        <v>33</v>
      </c>
      <c r="T77" t="s">
        <v>33</v>
      </c>
      <c r="U77" t="s">
        <v>33</v>
      </c>
      <c r="V77" t="s">
        <v>33</v>
      </c>
      <c r="W77" t="s">
        <v>33</v>
      </c>
      <c r="X77" t="s">
        <v>33</v>
      </c>
      <c r="Y77" t="s">
        <v>33</v>
      </c>
      <c r="Z77" t="s">
        <v>33</v>
      </c>
      <c r="AA77">
        <v>0.83647811191307597</v>
      </c>
      <c r="AB77" t="s">
        <v>33</v>
      </c>
      <c r="AC77" t="s">
        <v>33</v>
      </c>
      <c r="AD77" t="s">
        <v>33</v>
      </c>
      <c r="AE77" t="s">
        <v>33</v>
      </c>
      <c r="AF77" t="s">
        <v>33</v>
      </c>
      <c r="AG77" t="s">
        <v>33</v>
      </c>
      <c r="AH77" t="s">
        <v>33</v>
      </c>
      <c r="AI77" t="s">
        <v>33</v>
      </c>
      <c r="AJ77" t="s">
        <v>33</v>
      </c>
      <c r="AK77" t="s">
        <v>33</v>
      </c>
      <c r="AL77" t="s">
        <v>33</v>
      </c>
      <c r="AM77" t="s">
        <v>33</v>
      </c>
      <c r="AN77" t="s">
        <v>33</v>
      </c>
      <c r="AO77">
        <v>0.42789533155394999</v>
      </c>
      <c r="AP77" t="s">
        <v>33</v>
      </c>
      <c r="AQ77" t="s">
        <v>33</v>
      </c>
      <c r="AR77">
        <v>0.169491525423728</v>
      </c>
      <c r="AS77" t="s">
        <v>33</v>
      </c>
      <c r="AT77" t="s">
        <v>33</v>
      </c>
      <c r="AU77" t="s">
        <v>33</v>
      </c>
      <c r="AV77" t="s">
        <v>33</v>
      </c>
      <c r="AW77" t="s">
        <v>33</v>
      </c>
      <c r="AX77" t="s">
        <v>33</v>
      </c>
      <c r="AY77" t="s">
        <v>33</v>
      </c>
      <c r="AZ77" t="s">
        <v>33</v>
      </c>
      <c r="BA77" t="s">
        <v>33</v>
      </c>
      <c r="BB77" t="s">
        <v>33</v>
      </c>
      <c r="BC77" t="s">
        <v>33</v>
      </c>
      <c r="BD77" t="s">
        <v>33</v>
      </c>
      <c r="BE77" t="s">
        <v>33</v>
      </c>
      <c r="BF77">
        <v>0.83563525855536303</v>
      </c>
      <c r="BG77" t="s">
        <v>33</v>
      </c>
      <c r="BH77" t="s">
        <v>33</v>
      </c>
      <c r="BI77" t="s">
        <v>33</v>
      </c>
      <c r="BJ77" t="s">
        <v>33</v>
      </c>
      <c r="BK77" t="s">
        <v>33</v>
      </c>
      <c r="BL77" t="s">
        <v>33</v>
      </c>
      <c r="BM77" t="s">
        <v>33</v>
      </c>
      <c r="BN77" t="s">
        <v>33</v>
      </c>
      <c r="BO77" t="s">
        <v>33</v>
      </c>
      <c r="BP77" t="s">
        <v>33</v>
      </c>
      <c r="BQ77" t="s">
        <v>33</v>
      </c>
      <c r="BR77" t="s">
        <v>33</v>
      </c>
      <c r="BS77">
        <v>1</v>
      </c>
      <c r="BT77" t="s">
        <v>33</v>
      </c>
      <c r="BU77" t="s">
        <v>33</v>
      </c>
      <c r="BV77" t="s">
        <v>33</v>
      </c>
      <c r="BW77">
        <v>0.55113774509803903</v>
      </c>
      <c r="BX77" t="s">
        <v>33</v>
      </c>
      <c r="BY77" t="s">
        <v>33</v>
      </c>
      <c r="BZ77" t="s">
        <v>33</v>
      </c>
      <c r="CA77" t="s">
        <v>33</v>
      </c>
      <c r="CB77" t="s">
        <v>33</v>
      </c>
      <c r="CC77" t="s">
        <v>33</v>
      </c>
      <c r="CD77" t="s">
        <v>33</v>
      </c>
      <c r="CE77" t="s">
        <v>33</v>
      </c>
      <c r="CF77" t="s">
        <v>33</v>
      </c>
      <c r="CG77" t="s">
        <v>33</v>
      </c>
      <c r="CI77">
        <f t="shared" si="5"/>
        <v>0.47795498963025135</v>
      </c>
      <c r="CJ77">
        <f t="shared" si="3"/>
        <v>0.91781762927768151</v>
      </c>
      <c r="CK77">
        <f t="shared" si="4"/>
        <v>0.55113774509803903</v>
      </c>
    </row>
    <row r="78" spans="1:89" x14ac:dyDescent="0.25">
      <c r="A78" t="s">
        <v>109</v>
      </c>
      <c r="B78">
        <v>3</v>
      </c>
      <c r="H78" t="s">
        <v>33</v>
      </c>
      <c r="I78" t="s">
        <v>33</v>
      </c>
      <c r="J78" t="s">
        <v>33</v>
      </c>
      <c r="K78" t="s">
        <v>33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33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33</v>
      </c>
      <c r="Y78" t="s">
        <v>33</v>
      </c>
      <c r="Z78" t="s">
        <v>33</v>
      </c>
      <c r="AA78" t="s">
        <v>33</v>
      </c>
      <c r="AB78" t="s">
        <v>33</v>
      </c>
      <c r="AC78" t="s">
        <v>33</v>
      </c>
      <c r="AD78" t="s">
        <v>33</v>
      </c>
      <c r="AE78" t="s">
        <v>33</v>
      </c>
      <c r="AF78" t="s">
        <v>33</v>
      </c>
      <c r="AG78" t="s">
        <v>33</v>
      </c>
      <c r="AH78" t="s">
        <v>33</v>
      </c>
      <c r="AI78" t="s">
        <v>33</v>
      </c>
      <c r="AJ78" t="s">
        <v>33</v>
      </c>
      <c r="AK78" t="s">
        <v>33</v>
      </c>
      <c r="AL78" t="s">
        <v>33</v>
      </c>
      <c r="AM78" t="s">
        <v>33</v>
      </c>
      <c r="AN78" t="s">
        <v>33</v>
      </c>
      <c r="AO78" t="s">
        <v>33</v>
      </c>
      <c r="AP78" t="s">
        <v>33</v>
      </c>
      <c r="AQ78" t="s">
        <v>33</v>
      </c>
      <c r="AR78" t="s">
        <v>33</v>
      </c>
      <c r="AS78" t="s">
        <v>33</v>
      </c>
      <c r="AT78" t="s">
        <v>33</v>
      </c>
      <c r="AU78" t="s">
        <v>33</v>
      </c>
      <c r="AV78" t="s">
        <v>33</v>
      </c>
      <c r="AW78" t="s">
        <v>33</v>
      </c>
      <c r="AX78" t="s">
        <v>33</v>
      </c>
      <c r="AY78" t="s">
        <v>33</v>
      </c>
      <c r="AZ78">
        <v>0.98863636363636298</v>
      </c>
      <c r="BA78" t="s">
        <v>33</v>
      </c>
      <c r="BB78">
        <v>0.986928104575163</v>
      </c>
      <c r="BC78" t="s">
        <v>33</v>
      </c>
      <c r="BD78" t="s">
        <v>33</v>
      </c>
      <c r="BE78" t="s">
        <v>33</v>
      </c>
      <c r="BF78" t="s">
        <v>33</v>
      </c>
      <c r="BG78" t="s">
        <v>33</v>
      </c>
      <c r="BH78">
        <v>0.90789473684210498</v>
      </c>
      <c r="BI78" t="s">
        <v>33</v>
      </c>
      <c r="BJ78" t="s">
        <v>33</v>
      </c>
      <c r="BK78" t="s">
        <v>33</v>
      </c>
      <c r="BL78" t="s">
        <v>33</v>
      </c>
      <c r="BM78" t="s">
        <v>33</v>
      </c>
      <c r="BN78">
        <v>0.98398892602432197</v>
      </c>
      <c r="BO78" t="s">
        <v>33</v>
      </c>
      <c r="BP78" t="s">
        <v>33</v>
      </c>
      <c r="BQ78">
        <v>0.94623655913978499</v>
      </c>
      <c r="BR78">
        <v>0.96721311475409799</v>
      </c>
      <c r="BS78" t="s">
        <v>33</v>
      </c>
      <c r="BT78">
        <v>0.99382716049382702</v>
      </c>
      <c r="BU78" t="s">
        <v>33</v>
      </c>
      <c r="BV78" t="s">
        <v>33</v>
      </c>
      <c r="BW78" t="s">
        <v>33</v>
      </c>
      <c r="BX78" t="s">
        <v>33</v>
      </c>
      <c r="BY78" t="s">
        <v>33</v>
      </c>
      <c r="BZ78" t="s">
        <v>33</v>
      </c>
      <c r="CA78" t="s">
        <v>33</v>
      </c>
      <c r="CB78">
        <v>0.75115207373271797</v>
      </c>
      <c r="CC78" t="s">
        <v>33</v>
      </c>
      <c r="CD78">
        <v>0.72465960665658002</v>
      </c>
      <c r="CE78" t="s">
        <v>33</v>
      </c>
      <c r="CF78" t="s">
        <v>33</v>
      </c>
      <c r="CG78" t="s">
        <v>33</v>
      </c>
      <c r="CI78">
        <f t="shared" si="5"/>
        <v>0.90831846497882984</v>
      </c>
      <c r="CJ78">
        <f t="shared" si="3"/>
        <v>0</v>
      </c>
      <c r="CK78">
        <f t="shared" si="4"/>
        <v>0.98398892602432197</v>
      </c>
    </row>
    <row r="79" spans="1:89" x14ac:dyDescent="0.25">
      <c r="A79" t="s">
        <v>92</v>
      </c>
      <c r="B79" t="s">
        <v>87</v>
      </c>
      <c r="C79" s="2">
        <v>5</v>
      </c>
      <c r="D79" s="2">
        <v>2</v>
      </c>
      <c r="E79" s="2">
        <v>2</v>
      </c>
      <c r="F79" s="2">
        <v>2</v>
      </c>
      <c r="G79" s="2">
        <v>3</v>
      </c>
      <c r="H79" t="s">
        <v>33</v>
      </c>
      <c r="I79" t="s">
        <v>33</v>
      </c>
      <c r="J79" t="s">
        <v>33</v>
      </c>
      <c r="K79" t="s">
        <v>33</v>
      </c>
      <c r="L79">
        <v>0.9</v>
      </c>
      <c r="M79" t="s">
        <v>33</v>
      </c>
      <c r="N79" t="s">
        <v>33</v>
      </c>
      <c r="O79" t="s">
        <v>33</v>
      </c>
      <c r="P79" t="s">
        <v>33</v>
      </c>
      <c r="Q79">
        <v>1</v>
      </c>
      <c r="R79">
        <v>0.57240174682882805</v>
      </c>
      <c r="S79" t="s">
        <v>33</v>
      </c>
      <c r="T79">
        <v>0.625</v>
      </c>
      <c r="U79" t="s">
        <v>33</v>
      </c>
      <c r="V79" t="s">
        <v>33</v>
      </c>
      <c r="W79" t="s">
        <v>33</v>
      </c>
      <c r="X79" t="s">
        <v>33</v>
      </c>
      <c r="Y79" t="s">
        <v>33</v>
      </c>
      <c r="Z79" t="s">
        <v>33</v>
      </c>
      <c r="AA79" t="s">
        <v>33</v>
      </c>
      <c r="AB79" t="s">
        <v>33</v>
      </c>
      <c r="AC79">
        <v>0.64483158972853505</v>
      </c>
      <c r="AD79" t="s">
        <v>33</v>
      </c>
      <c r="AE79" t="s">
        <v>33</v>
      </c>
      <c r="AF79" t="s">
        <v>33</v>
      </c>
      <c r="AG79" t="s">
        <v>33</v>
      </c>
      <c r="AH79">
        <v>0.98518518518518505</v>
      </c>
      <c r="AI79">
        <v>0.93081761006289299</v>
      </c>
      <c r="AJ79" t="s">
        <v>33</v>
      </c>
      <c r="AK79">
        <v>0.59933711119887201</v>
      </c>
      <c r="AL79">
        <v>1</v>
      </c>
      <c r="AM79" t="s">
        <v>33</v>
      </c>
      <c r="AN79" t="s">
        <v>33</v>
      </c>
      <c r="AO79" t="s">
        <v>33</v>
      </c>
      <c r="AP79" t="s">
        <v>33</v>
      </c>
      <c r="AQ79" t="s">
        <v>33</v>
      </c>
      <c r="AR79">
        <v>0.38251634182119598</v>
      </c>
      <c r="AS79" t="s">
        <v>33</v>
      </c>
      <c r="AT79" t="s">
        <v>33</v>
      </c>
      <c r="AU79" t="s">
        <v>33</v>
      </c>
      <c r="AV79" t="s">
        <v>33</v>
      </c>
      <c r="AW79">
        <v>0</v>
      </c>
      <c r="AX79">
        <v>0</v>
      </c>
      <c r="AY79" t="s">
        <v>33</v>
      </c>
      <c r="AZ79" t="s">
        <v>33</v>
      </c>
      <c r="BA79" t="s">
        <v>33</v>
      </c>
      <c r="BB79" t="s">
        <v>33</v>
      </c>
      <c r="BC79" t="s">
        <v>33</v>
      </c>
      <c r="BD79">
        <v>0.66666666666666596</v>
      </c>
      <c r="BE79" t="s">
        <v>33</v>
      </c>
      <c r="BF79">
        <v>0.63042706109387203</v>
      </c>
      <c r="BG79" t="s">
        <v>33</v>
      </c>
      <c r="BH79" t="s">
        <v>33</v>
      </c>
      <c r="BI79" t="s">
        <v>33</v>
      </c>
      <c r="BJ79" t="s">
        <v>33</v>
      </c>
      <c r="BK79" t="s">
        <v>33</v>
      </c>
      <c r="BL79">
        <v>0.90523693890095402</v>
      </c>
      <c r="BM79" t="s">
        <v>33</v>
      </c>
      <c r="BN79">
        <v>0.62617962962962903</v>
      </c>
      <c r="BO79" t="s">
        <v>33</v>
      </c>
      <c r="BP79">
        <v>0.90361445783132499</v>
      </c>
      <c r="BQ79" t="s">
        <v>33</v>
      </c>
      <c r="BR79" t="s">
        <v>33</v>
      </c>
      <c r="BS79" t="s">
        <v>33</v>
      </c>
      <c r="BT79" t="s">
        <v>33</v>
      </c>
      <c r="BU79" t="s">
        <v>33</v>
      </c>
      <c r="BV79" t="s">
        <v>33</v>
      </c>
      <c r="BW79" t="s">
        <v>33</v>
      </c>
      <c r="BX79" t="s">
        <v>33</v>
      </c>
      <c r="BY79" t="s">
        <v>33</v>
      </c>
      <c r="BZ79" t="s">
        <v>33</v>
      </c>
      <c r="CA79" t="s">
        <v>33</v>
      </c>
      <c r="CB79">
        <v>1</v>
      </c>
      <c r="CC79" t="s">
        <v>33</v>
      </c>
      <c r="CD79" t="s">
        <v>33</v>
      </c>
      <c r="CE79" t="s">
        <v>33</v>
      </c>
      <c r="CF79" t="s">
        <v>33</v>
      </c>
      <c r="CG79">
        <v>0.88235294117647001</v>
      </c>
      <c r="CI79">
        <f t="shared" si="5"/>
        <v>0.77636335773076692</v>
      </c>
      <c r="CJ79">
        <f t="shared" si="3"/>
        <v>0.40760676527346801</v>
      </c>
      <c r="CK79">
        <f t="shared" si="4"/>
        <v>0.76570828426529158</v>
      </c>
    </row>
    <row r="80" spans="1:89" x14ac:dyDescent="0.25">
      <c r="A80" t="s">
        <v>110</v>
      </c>
      <c r="B80">
        <v>3</v>
      </c>
      <c r="H80" t="s">
        <v>33</v>
      </c>
      <c r="I80" t="s">
        <v>33</v>
      </c>
      <c r="J80" t="s">
        <v>33</v>
      </c>
      <c r="K80" t="s">
        <v>33</v>
      </c>
      <c r="L80" t="s">
        <v>33</v>
      </c>
      <c r="M80" t="s">
        <v>33</v>
      </c>
      <c r="N80" t="s">
        <v>33</v>
      </c>
      <c r="O80" t="s">
        <v>33</v>
      </c>
      <c r="P80" t="s">
        <v>33</v>
      </c>
      <c r="Q80" t="s">
        <v>33</v>
      </c>
      <c r="R80" t="s">
        <v>33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33</v>
      </c>
      <c r="Y80" t="s">
        <v>33</v>
      </c>
      <c r="Z80" t="s">
        <v>33</v>
      </c>
      <c r="AA80" t="s">
        <v>33</v>
      </c>
      <c r="AB80" t="s">
        <v>33</v>
      </c>
      <c r="AC80" t="s">
        <v>33</v>
      </c>
      <c r="AD80" t="s">
        <v>33</v>
      </c>
      <c r="AE80" t="s">
        <v>33</v>
      </c>
      <c r="AF80" t="s">
        <v>33</v>
      </c>
      <c r="AG80" t="s">
        <v>33</v>
      </c>
      <c r="AH80" t="s">
        <v>33</v>
      </c>
      <c r="AI80" t="s">
        <v>33</v>
      </c>
      <c r="AJ80" t="s">
        <v>33</v>
      </c>
      <c r="AK80" t="s">
        <v>33</v>
      </c>
      <c r="AL80" t="s">
        <v>33</v>
      </c>
      <c r="AM80" t="s">
        <v>33</v>
      </c>
      <c r="AN80" t="s">
        <v>33</v>
      </c>
      <c r="AO80" t="s">
        <v>33</v>
      </c>
      <c r="AP80" t="s">
        <v>33</v>
      </c>
      <c r="AQ80" t="s">
        <v>33</v>
      </c>
      <c r="AR80" t="s">
        <v>33</v>
      </c>
      <c r="AS80" t="s">
        <v>33</v>
      </c>
      <c r="AT80" t="s">
        <v>33</v>
      </c>
      <c r="AU80" t="s">
        <v>33</v>
      </c>
      <c r="AV80" t="s">
        <v>33</v>
      </c>
      <c r="AW80" t="s">
        <v>33</v>
      </c>
      <c r="AX80" t="s">
        <v>33</v>
      </c>
      <c r="AY80" t="s">
        <v>33</v>
      </c>
      <c r="AZ80">
        <v>0.85517241379310305</v>
      </c>
      <c r="BA80" t="s">
        <v>33</v>
      </c>
      <c r="BB80">
        <v>0.78</v>
      </c>
      <c r="BC80" t="s">
        <v>33</v>
      </c>
      <c r="BD80" t="s">
        <v>33</v>
      </c>
      <c r="BE80" t="s">
        <v>33</v>
      </c>
      <c r="BF80" t="s">
        <v>33</v>
      </c>
      <c r="BG80" t="s">
        <v>33</v>
      </c>
      <c r="BH80">
        <v>0.73737373737373701</v>
      </c>
      <c r="BI80" t="s">
        <v>33</v>
      </c>
      <c r="BJ80" t="s">
        <v>33</v>
      </c>
      <c r="BK80" t="s">
        <v>33</v>
      </c>
      <c r="BL80" t="s">
        <v>33</v>
      </c>
      <c r="BM80" t="s">
        <v>33</v>
      </c>
      <c r="BN80">
        <v>0.99138775204369101</v>
      </c>
      <c r="BO80" t="s">
        <v>33</v>
      </c>
      <c r="BP80" t="s">
        <v>33</v>
      </c>
      <c r="BQ80">
        <v>0.91919618144174098</v>
      </c>
      <c r="BR80">
        <v>0.95949872871480801</v>
      </c>
      <c r="BS80" t="s">
        <v>33</v>
      </c>
      <c r="BT80">
        <v>0.94623655913978499</v>
      </c>
      <c r="BU80" t="s">
        <v>33</v>
      </c>
      <c r="BV80" t="s">
        <v>33</v>
      </c>
      <c r="BW80" t="s">
        <v>33</v>
      </c>
      <c r="BX80" t="s">
        <v>33</v>
      </c>
      <c r="BY80" t="s">
        <v>33</v>
      </c>
      <c r="BZ80" t="s">
        <v>33</v>
      </c>
      <c r="CA80" t="s">
        <v>33</v>
      </c>
      <c r="CB80">
        <v>0.22033898305084701</v>
      </c>
      <c r="CC80" t="s">
        <v>33</v>
      </c>
      <c r="CD80">
        <v>0.39024390243902402</v>
      </c>
      <c r="CE80" t="s">
        <v>33</v>
      </c>
      <c r="CF80" t="s">
        <v>33</v>
      </c>
      <c r="CG80" t="s">
        <v>33</v>
      </c>
      <c r="CI80">
        <f t="shared" si="5"/>
        <v>0.72600756324413074</v>
      </c>
      <c r="CJ80">
        <f t="shared" si="3"/>
        <v>0</v>
      </c>
      <c r="CK80">
        <f t="shared" si="4"/>
        <v>0.99138775204369101</v>
      </c>
    </row>
    <row r="81" spans="1:89" x14ac:dyDescent="0.25">
      <c r="A81" t="s">
        <v>116</v>
      </c>
      <c r="B81">
        <v>1</v>
      </c>
      <c r="C81" s="2">
        <v>10</v>
      </c>
      <c r="D81" s="2">
        <v>1</v>
      </c>
      <c r="E81" s="2">
        <v>3</v>
      </c>
      <c r="F81" s="2">
        <v>2</v>
      </c>
      <c r="G81" s="2">
        <v>3</v>
      </c>
      <c r="H81" t="s">
        <v>33</v>
      </c>
      <c r="I81" t="s">
        <v>33</v>
      </c>
      <c r="J81" t="s">
        <v>33</v>
      </c>
      <c r="K81" t="s">
        <v>33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33</v>
      </c>
      <c r="R81" t="s">
        <v>33</v>
      </c>
      <c r="S81" t="s">
        <v>33</v>
      </c>
      <c r="T81" t="s">
        <v>33</v>
      </c>
      <c r="U81" t="s">
        <v>33</v>
      </c>
      <c r="V81" t="s">
        <v>33</v>
      </c>
      <c r="W81" t="s">
        <v>33</v>
      </c>
      <c r="X81" t="s">
        <v>33</v>
      </c>
      <c r="Y81" t="s">
        <v>33</v>
      </c>
      <c r="Z81" t="s">
        <v>33</v>
      </c>
      <c r="AA81">
        <v>0.71891910283563498</v>
      </c>
      <c r="AB81" t="s">
        <v>33</v>
      </c>
      <c r="AC81" t="s">
        <v>33</v>
      </c>
      <c r="AD81" t="s">
        <v>33</v>
      </c>
      <c r="AE81" t="s">
        <v>33</v>
      </c>
      <c r="AF81" t="s">
        <v>33</v>
      </c>
      <c r="AG81" t="s">
        <v>33</v>
      </c>
      <c r="AH81" t="s">
        <v>33</v>
      </c>
      <c r="AI81" t="s">
        <v>33</v>
      </c>
      <c r="AJ81" t="s">
        <v>33</v>
      </c>
      <c r="AK81" t="s">
        <v>33</v>
      </c>
      <c r="AL81" t="s">
        <v>33</v>
      </c>
      <c r="AM81" t="s">
        <v>33</v>
      </c>
      <c r="AN81" t="s">
        <v>33</v>
      </c>
      <c r="AO81" t="s">
        <v>33</v>
      </c>
      <c r="AP81">
        <v>0.65830420284748303</v>
      </c>
      <c r="AQ81" t="s">
        <v>33</v>
      </c>
      <c r="AR81">
        <v>0.41379310344827502</v>
      </c>
      <c r="AS81" t="s">
        <v>33</v>
      </c>
      <c r="AT81" t="s">
        <v>33</v>
      </c>
      <c r="AU81" t="s">
        <v>33</v>
      </c>
      <c r="AV81">
        <v>0.118002654440472</v>
      </c>
      <c r="AW81" t="s">
        <v>33</v>
      </c>
      <c r="AX81" t="s">
        <v>33</v>
      </c>
      <c r="AY81" t="s">
        <v>33</v>
      </c>
      <c r="AZ81" t="s">
        <v>33</v>
      </c>
      <c r="BA81" t="s">
        <v>33</v>
      </c>
      <c r="BB81" t="s">
        <v>33</v>
      </c>
      <c r="BC81" t="s">
        <v>33</v>
      </c>
      <c r="BD81" t="s">
        <v>33</v>
      </c>
      <c r="BE81" t="s">
        <v>33</v>
      </c>
      <c r="BF81">
        <v>0.49238047538232399</v>
      </c>
      <c r="BG81" t="s">
        <v>33</v>
      </c>
      <c r="BH81" t="s">
        <v>33</v>
      </c>
      <c r="BI81" t="s">
        <v>33</v>
      </c>
      <c r="BJ81" t="s">
        <v>33</v>
      </c>
      <c r="BK81" t="s">
        <v>33</v>
      </c>
      <c r="BL81" t="s">
        <v>33</v>
      </c>
      <c r="BM81" t="s">
        <v>33</v>
      </c>
      <c r="BN81" t="s">
        <v>33</v>
      </c>
      <c r="BO81" t="s">
        <v>33</v>
      </c>
      <c r="BP81" t="s">
        <v>33</v>
      </c>
      <c r="BQ81" t="s">
        <v>33</v>
      </c>
      <c r="BR81" t="s">
        <v>33</v>
      </c>
      <c r="BS81" t="s">
        <v>33</v>
      </c>
      <c r="BT81" t="s">
        <v>33</v>
      </c>
      <c r="BU81" t="s">
        <v>33</v>
      </c>
      <c r="BV81">
        <v>0.80105399441011005</v>
      </c>
      <c r="BW81" t="s">
        <v>33</v>
      </c>
      <c r="BX81" t="s">
        <v>33</v>
      </c>
      <c r="BY81" t="s">
        <v>33</v>
      </c>
      <c r="BZ81" t="s">
        <v>33</v>
      </c>
      <c r="CA81" t="s">
        <v>33</v>
      </c>
      <c r="CB81" t="s">
        <v>33</v>
      </c>
      <c r="CC81" t="s">
        <v>33</v>
      </c>
      <c r="CD81" t="s">
        <v>33</v>
      </c>
      <c r="CE81" t="s">
        <v>33</v>
      </c>
      <c r="CF81" t="s">
        <v>33</v>
      </c>
      <c r="CG81" t="s">
        <v>33</v>
      </c>
      <c r="CI81">
        <f t="shared" si="5"/>
        <v>0.56635610314195506</v>
      </c>
      <c r="CJ81">
        <f t="shared" si="3"/>
        <v>0.42289577755675967</v>
      </c>
      <c r="CK81">
        <f t="shared" si="4"/>
        <v>0.80105399441011005</v>
      </c>
    </row>
    <row r="82" spans="1:89" x14ac:dyDescent="0.25">
      <c r="A82" t="s">
        <v>115</v>
      </c>
      <c r="B82">
        <v>1</v>
      </c>
      <c r="C82" s="2">
        <v>7</v>
      </c>
      <c r="D82" s="2">
        <v>1</v>
      </c>
      <c r="E82" s="2">
        <v>3</v>
      </c>
      <c r="F82" s="2">
        <v>1</v>
      </c>
      <c r="G82" s="2">
        <v>3</v>
      </c>
      <c r="H82" t="s">
        <v>33</v>
      </c>
      <c r="I82" t="s">
        <v>33</v>
      </c>
      <c r="J82" t="s">
        <v>33</v>
      </c>
      <c r="K82" t="s">
        <v>33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33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  <c r="X82" t="s">
        <v>33</v>
      </c>
      <c r="Y82" t="s">
        <v>33</v>
      </c>
      <c r="Z82" t="s">
        <v>33</v>
      </c>
      <c r="AA82" t="s">
        <v>33</v>
      </c>
      <c r="AB82" t="s">
        <v>33</v>
      </c>
      <c r="AC82" t="s">
        <v>33</v>
      </c>
      <c r="AD82" t="s">
        <v>33</v>
      </c>
      <c r="AE82" t="s">
        <v>33</v>
      </c>
      <c r="AF82" t="s">
        <v>33</v>
      </c>
      <c r="AG82" t="s">
        <v>33</v>
      </c>
      <c r="AH82" t="s">
        <v>33</v>
      </c>
      <c r="AI82" t="s">
        <v>33</v>
      </c>
      <c r="AJ82" t="s">
        <v>33</v>
      </c>
      <c r="AK82" t="s">
        <v>33</v>
      </c>
      <c r="AL82" t="s">
        <v>33</v>
      </c>
      <c r="AM82" t="s">
        <v>33</v>
      </c>
      <c r="AN82" t="s">
        <v>33</v>
      </c>
      <c r="AO82" t="s">
        <v>33</v>
      </c>
      <c r="AP82" t="s">
        <v>33</v>
      </c>
      <c r="AQ82" t="s">
        <v>33</v>
      </c>
      <c r="AR82">
        <v>0.66666666666666596</v>
      </c>
      <c r="AS82" t="s">
        <v>33</v>
      </c>
      <c r="AT82" t="s">
        <v>33</v>
      </c>
      <c r="AU82" t="s">
        <v>33</v>
      </c>
      <c r="AV82" t="s">
        <v>33</v>
      </c>
      <c r="AW82" t="s">
        <v>33</v>
      </c>
      <c r="AX82" t="s">
        <v>33</v>
      </c>
      <c r="AY82" t="s">
        <v>33</v>
      </c>
      <c r="AZ82" t="s">
        <v>33</v>
      </c>
      <c r="BA82" t="s">
        <v>33</v>
      </c>
      <c r="BB82" t="s">
        <v>33</v>
      </c>
      <c r="BC82" t="s">
        <v>33</v>
      </c>
      <c r="BD82" t="s">
        <v>33</v>
      </c>
      <c r="BE82" t="s">
        <v>33</v>
      </c>
      <c r="BF82">
        <v>0.34860254189645501</v>
      </c>
      <c r="BG82" t="s">
        <v>33</v>
      </c>
      <c r="BH82" t="s">
        <v>33</v>
      </c>
      <c r="BI82" t="s">
        <v>33</v>
      </c>
      <c r="BJ82" t="s">
        <v>33</v>
      </c>
      <c r="BK82" t="s">
        <v>33</v>
      </c>
      <c r="BL82" t="s">
        <v>33</v>
      </c>
      <c r="BM82" t="s">
        <v>33</v>
      </c>
      <c r="BN82" t="s">
        <v>33</v>
      </c>
      <c r="BO82" t="s">
        <v>33</v>
      </c>
      <c r="BP82" t="s">
        <v>33</v>
      </c>
      <c r="BQ82" t="s">
        <v>33</v>
      </c>
      <c r="BR82" t="s">
        <v>33</v>
      </c>
      <c r="BS82">
        <v>1</v>
      </c>
      <c r="BT82" t="s">
        <v>33</v>
      </c>
      <c r="BU82" t="s">
        <v>33</v>
      </c>
      <c r="BV82">
        <v>0.80981544344714296</v>
      </c>
      <c r="BW82">
        <v>0.40490196078431301</v>
      </c>
      <c r="BX82" t="s">
        <v>33</v>
      </c>
      <c r="BY82" t="s">
        <v>33</v>
      </c>
      <c r="BZ82" t="s">
        <v>33</v>
      </c>
      <c r="CA82" t="s">
        <v>33</v>
      </c>
      <c r="CB82" t="s">
        <v>33</v>
      </c>
      <c r="CC82" t="s">
        <v>33</v>
      </c>
      <c r="CD82" t="s">
        <v>33</v>
      </c>
      <c r="CE82" t="s">
        <v>33</v>
      </c>
      <c r="CF82" t="s">
        <v>33</v>
      </c>
      <c r="CG82" t="s">
        <v>33</v>
      </c>
      <c r="CI82">
        <f t="shared" si="5"/>
        <v>0.66666666666666596</v>
      </c>
      <c r="CJ82">
        <f t="shared" si="3"/>
        <v>0.67430127094822745</v>
      </c>
      <c r="CK82">
        <f t="shared" si="4"/>
        <v>0.60735870211572796</v>
      </c>
    </row>
    <row r="83" spans="1:89" x14ac:dyDescent="0.25">
      <c r="A83" t="s">
        <v>111</v>
      </c>
      <c r="B83">
        <v>3</v>
      </c>
      <c r="H83" t="s">
        <v>33</v>
      </c>
      <c r="I83" t="s">
        <v>33</v>
      </c>
      <c r="J83" t="s">
        <v>33</v>
      </c>
      <c r="K83" t="s">
        <v>33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33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  <c r="X83" t="s">
        <v>33</v>
      </c>
      <c r="Y83" t="s">
        <v>33</v>
      </c>
      <c r="Z83" t="s">
        <v>33</v>
      </c>
      <c r="AA83" t="s">
        <v>33</v>
      </c>
      <c r="AB83" t="s">
        <v>33</v>
      </c>
      <c r="AC83" t="s">
        <v>33</v>
      </c>
      <c r="AD83" t="s">
        <v>33</v>
      </c>
      <c r="AE83" t="s">
        <v>33</v>
      </c>
      <c r="AF83" t="s">
        <v>33</v>
      </c>
      <c r="AG83" t="s">
        <v>33</v>
      </c>
      <c r="AH83" t="s">
        <v>33</v>
      </c>
      <c r="AI83" t="s">
        <v>33</v>
      </c>
      <c r="AJ83" t="s">
        <v>33</v>
      </c>
      <c r="AK83" t="s">
        <v>33</v>
      </c>
      <c r="AL83" t="s">
        <v>33</v>
      </c>
      <c r="AM83" t="s">
        <v>33</v>
      </c>
      <c r="AN83" t="s">
        <v>33</v>
      </c>
      <c r="AO83" t="s">
        <v>33</v>
      </c>
      <c r="AP83" t="s">
        <v>33</v>
      </c>
      <c r="AQ83" t="s">
        <v>33</v>
      </c>
      <c r="AR83" t="s">
        <v>33</v>
      </c>
      <c r="AS83" t="s">
        <v>33</v>
      </c>
      <c r="AT83" t="s">
        <v>33</v>
      </c>
      <c r="AU83" t="s">
        <v>33</v>
      </c>
      <c r="AV83" t="s">
        <v>33</v>
      </c>
      <c r="AW83" t="s">
        <v>33</v>
      </c>
      <c r="AX83" t="s">
        <v>33</v>
      </c>
      <c r="AY83" t="s">
        <v>33</v>
      </c>
      <c r="AZ83">
        <v>0.38970588235294101</v>
      </c>
      <c r="BA83" t="s">
        <v>33</v>
      </c>
      <c r="BB83">
        <v>0.60526315789473595</v>
      </c>
      <c r="BC83" t="s">
        <v>33</v>
      </c>
      <c r="BD83" t="s">
        <v>33</v>
      </c>
      <c r="BE83" t="s">
        <v>33</v>
      </c>
      <c r="BF83" t="s">
        <v>33</v>
      </c>
      <c r="BG83" t="s">
        <v>33</v>
      </c>
      <c r="BH83">
        <v>0.78846153846153799</v>
      </c>
      <c r="BI83" t="s">
        <v>33</v>
      </c>
      <c r="BJ83" t="s">
        <v>33</v>
      </c>
      <c r="BK83" t="s">
        <v>33</v>
      </c>
      <c r="BL83" t="s">
        <v>33</v>
      </c>
      <c r="BM83" t="s">
        <v>33</v>
      </c>
      <c r="BN83">
        <v>0.98076648107587705</v>
      </c>
      <c r="BO83" t="s">
        <v>33</v>
      </c>
      <c r="BP83" t="s">
        <v>33</v>
      </c>
      <c r="BQ83">
        <v>0.5</v>
      </c>
      <c r="BR83">
        <v>0.92307692307692302</v>
      </c>
      <c r="BS83" t="s">
        <v>33</v>
      </c>
      <c r="BT83">
        <v>0.59722222222222199</v>
      </c>
      <c r="BU83" t="s">
        <v>33</v>
      </c>
      <c r="BV83" t="s">
        <v>33</v>
      </c>
      <c r="BW83" t="s">
        <v>33</v>
      </c>
      <c r="BX83" t="s">
        <v>33</v>
      </c>
      <c r="BY83" t="s">
        <v>33</v>
      </c>
      <c r="BZ83" t="s">
        <v>33</v>
      </c>
      <c r="CA83" t="s">
        <v>33</v>
      </c>
      <c r="CB83">
        <v>6.9930069930069894E-2</v>
      </c>
      <c r="CC83" t="s">
        <v>33</v>
      </c>
      <c r="CD83">
        <v>0.202380952380952</v>
      </c>
      <c r="CE83" t="s">
        <v>33</v>
      </c>
      <c r="CF83" t="s">
        <v>33</v>
      </c>
      <c r="CG83" t="s">
        <v>33</v>
      </c>
      <c r="CI83">
        <f t="shared" si="5"/>
        <v>0.50950509328992266</v>
      </c>
      <c r="CJ83">
        <f t="shared" si="3"/>
        <v>0</v>
      </c>
      <c r="CK83">
        <f t="shared" si="4"/>
        <v>0.98076648107587705</v>
      </c>
    </row>
    <row r="84" spans="1:89" x14ac:dyDescent="0.25">
      <c r="A84" t="s">
        <v>56</v>
      </c>
      <c r="B84" t="s">
        <v>87</v>
      </c>
      <c r="C84" s="2">
        <v>9</v>
      </c>
      <c r="D84" s="2">
        <v>2</v>
      </c>
      <c r="E84" s="2">
        <v>2</v>
      </c>
      <c r="F84" s="2">
        <v>2</v>
      </c>
      <c r="G84" s="2">
        <v>3</v>
      </c>
      <c r="H84" t="s">
        <v>33</v>
      </c>
      <c r="I84" t="s">
        <v>33</v>
      </c>
      <c r="J84" t="s">
        <v>33</v>
      </c>
      <c r="K84" t="s">
        <v>33</v>
      </c>
      <c r="L84">
        <v>0.92307692307692302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33</v>
      </c>
      <c r="S84" t="s">
        <v>33</v>
      </c>
      <c r="T84">
        <v>0.9375</v>
      </c>
      <c r="U84" t="s">
        <v>33</v>
      </c>
      <c r="V84" t="s">
        <v>33</v>
      </c>
      <c r="W84" t="s">
        <v>33</v>
      </c>
      <c r="X84" t="s">
        <v>33</v>
      </c>
      <c r="Y84" t="s">
        <v>33</v>
      </c>
      <c r="Z84" t="s">
        <v>33</v>
      </c>
      <c r="AA84" t="s">
        <v>33</v>
      </c>
      <c r="AB84" t="s">
        <v>33</v>
      </c>
      <c r="AC84">
        <v>0.460207838551422</v>
      </c>
      <c r="AD84" t="s">
        <v>33</v>
      </c>
      <c r="AE84" t="s">
        <v>33</v>
      </c>
      <c r="AF84" t="s">
        <v>33</v>
      </c>
      <c r="AG84" t="s">
        <v>33</v>
      </c>
      <c r="AH84">
        <v>0.95138888888888795</v>
      </c>
      <c r="AI84">
        <v>0.987341772151898</v>
      </c>
      <c r="AJ84" t="s">
        <v>33</v>
      </c>
      <c r="AK84" t="s">
        <v>33</v>
      </c>
      <c r="AL84">
        <v>1</v>
      </c>
      <c r="AM84" t="s">
        <v>33</v>
      </c>
      <c r="AN84" t="s">
        <v>33</v>
      </c>
      <c r="AO84" t="s">
        <v>33</v>
      </c>
      <c r="AP84" t="s">
        <v>33</v>
      </c>
      <c r="AQ84" t="s">
        <v>33</v>
      </c>
      <c r="AR84">
        <v>0.75</v>
      </c>
      <c r="AS84" t="s">
        <v>33</v>
      </c>
      <c r="AT84" t="s">
        <v>33</v>
      </c>
      <c r="AU84" t="s">
        <v>33</v>
      </c>
      <c r="AV84" t="s">
        <v>33</v>
      </c>
      <c r="AW84">
        <v>0</v>
      </c>
      <c r="AX84">
        <v>0</v>
      </c>
      <c r="AY84" t="s">
        <v>33</v>
      </c>
      <c r="AZ84" t="s">
        <v>33</v>
      </c>
      <c r="BA84" t="s">
        <v>33</v>
      </c>
      <c r="BB84" t="s">
        <v>33</v>
      </c>
      <c r="BC84" t="s">
        <v>33</v>
      </c>
      <c r="BD84">
        <v>0.88429752066115697</v>
      </c>
      <c r="BE84">
        <v>1</v>
      </c>
      <c r="BF84" t="s">
        <v>33</v>
      </c>
      <c r="BG84" t="s">
        <v>33</v>
      </c>
      <c r="BH84" t="s">
        <v>33</v>
      </c>
      <c r="BI84" t="s">
        <v>33</v>
      </c>
      <c r="BJ84" t="s">
        <v>33</v>
      </c>
      <c r="BK84" t="s">
        <v>33</v>
      </c>
      <c r="BL84">
        <v>0.859645636269881</v>
      </c>
      <c r="BM84" t="s">
        <v>33</v>
      </c>
      <c r="BN84">
        <v>0.88812076325001998</v>
      </c>
      <c r="BO84" t="s">
        <v>33</v>
      </c>
      <c r="BP84">
        <v>0.95945945945945899</v>
      </c>
      <c r="BQ84" t="s">
        <v>33</v>
      </c>
      <c r="BR84" t="s">
        <v>33</v>
      </c>
      <c r="BS84">
        <v>1</v>
      </c>
      <c r="BT84" t="s">
        <v>33</v>
      </c>
      <c r="BU84" t="s">
        <v>33</v>
      </c>
      <c r="BV84" t="s">
        <v>33</v>
      </c>
      <c r="BW84" t="s">
        <v>33</v>
      </c>
      <c r="BX84">
        <v>0.57958055555555499</v>
      </c>
      <c r="BY84" t="s">
        <v>33</v>
      </c>
      <c r="BZ84" t="s">
        <v>33</v>
      </c>
      <c r="CA84">
        <v>0.90676918993535605</v>
      </c>
      <c r="CB84" t="s">
        <v>33</v>
      </c>
      <c r="CC84" t="s">
        <v>33</v>
      </c>
      <c r="CD84" t="s">
        <v>33</v>
      </c>
      <c r="CE84" t="s">
        <v>33</v>
      </c>
      <c r="CF84" t="s">
        <v>33</v>
      </c>
      <c r="CG84">
        <v>1</v>
      </c>
      <c r="CI84">
        <f t="shared" si="5"/>
        <v>0.87258582253219397</v>
      </c>
      <c r="CJ84">
        <f t="shared" si="3"/>
        <v>0.6</v>
      </c>
      <c r="CK84">
        <f t="shared" si="4"/>
        <v>0.808529036252703</v>
      </c>
    </row>
    <row r="85" spans="1:89" x14ac:dyDescent="0.25">
      <c r="A85" t="s">
        <v>84</v>
      </c>
      <c r="B85" t="s">
        <v>72</v>
      </c>
      <c r="C85" s="2">
        <v>8</v>
      </c>
      <c r="D85" s="2">
        <v>2</v>
      </c>
      <c r="E85" s="2">
        <v>2</v>
      </c>
      <c r="F85" s="2">
        <v>2</v>
      </c>
      <c r="G85" s="2">
        <v>2</v>
      </c>
      <c r="H85" t="s">
        <v>33</v>
      </c>
      <c r="I85" t="s">
        <v>33</v>
      </c>
      <c r="J85" t="s">
        <v>33</v>
      </c>
      <c r="K85" t="s">
        <v>33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33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  <c r="X85" t="s">
        <v>33</v>
      </c>
      <c r="Y85" t="s">
        <v>33</v>
      </c>
      <c r="Z85" t="s">
        <v>33</v>
      </c>
      <c r="AA85" t="s">
        <v>33</v>
      </c>
      <c r="AB85" t="s">
        <v>33</v>
      </c>
      <c r="AC85">
        <v>0.30540056392097598</v>
      </c>
      <c r="AD85" t="s">
        <v>33</v>
      </c>
      <c r="AE85" t="s">
        <v>33</v>
      </c>
      <c r="AF85" t="s">
        <v>33</v>
      </c>
      <c r="AG85" t="s">
        <v>33</v>
      </c>
      <c r="AH85">
        <v>0.76984126984126899</v>
      </c>
      <c r="AI85">
        <v>0.90099009900990101</v>
      </c>
      <c r="AJ85" t="s">
        <v>33</v>
      </c>
      <c r="AK85" t="s">
        <v>33</v>
      </c>
      <c r="AL85">
        <v>0.72795076343986598</v>
      </c>
      <c r="AM85" t="s">
        <v>33</v>
      </c>
      <c r="AN85" t="s">
        <v>33</v>
      </c>
      <c r="AO85" t="s">
        <v>33</v>
      </c>
      <c r="AP85" t="s">
        <v>33</v>
      </c>
      <c r="AQ85" t="s">
        <v>33</v>
      </c>
      <c r="AR85" t="s">
        <v>33</v>
      </c>
      <c r="AS85" t="s">
        <v>33</v>
      </c>
      <c r="AT85" t="s">
        <v>33</v>
      </c>
      <c r="AU85" t="s">
        <v>33</v>
      </c>
      <c r="AV85" t="s">
        <v>33</v>
      </c>
      <c r="AW85" t="s">
        <v>33</v>
      </c>
      <c r="AX85">
        <v>0</v>
      </c>
      <c r="AY85" t="s">
        <v>33</v>
      </c>
      <c r="AZ85" t="s">
        <v>33</v>
      </c>
      <c r="BA85" t="s">
        <v>33</v>
      </c>
      <c r="BB85" t="s">
        <v>33</v>
      </c>
      <c r="BC85" t="s">
        <v>33</v>
      </c>
      <c r="BD85">
        <v>0.65476190476190399</v>
      </c>
      <c r="BE85">
        <v>1</v>
      </c>
      <c r="BF85">
        <v>0.62889795802401105</v>
      </c>
      <c r="BG85" t="s">
        <v>33</v>
      </c>
      <c r="BH85" t="s">
        <v>33</v>
      </c>
      <c r="BI85" t="s">
        <v>33</v>
      </c>
      <c r="BJ85">
        <v>0.40816326530612201</v>
      </c>
      <c r="BK85" t="s">
        <v>33</v>
      </c>
      <c r="BL85" t="s">
        <v>33</v>
      </c>
      <c r="BM85">
        <v>0.32258064516128998</v>
      </c>
      <c r="BN85" t="s">
        <v>33</v>
      </c>
      <c r="BO85" t="s">
        <v>33</v>
      </c>
      <c r="BP85">
        <v>0.77941176470588203</v>
      </c>
      <c r="BQ85" t="s">
        <v>33</v>
      </c>
      <c r="BR85" t="s">
        <v>33</v>
      </c>
      <c r="BS85">
        <v>1</v>
      </c>
      <c r="BT85" t="s">
        <v>33</v>
      </c>
      <c r="BU85" t="s">
        <v>33</v>
      </c>
      <c r="BV85" t="s">
        <v>33</v>
      </c>
      <c r="BW85" t="s">
        <v>33</v>
      </c>
      <c r="BX85" t="s">
        <v>33</v>
      </c>
      <c r="BY85">
        <v>0.88235294117647001</v>
      </c>
      <c r="BZ85">
        <v>0.51948051948051899</v>
      </c>
      <c r="CA85" t="s">
        <v>33</v>
      </c>
      <c r="CB85" t="s">
        <v>33</v>
      </c>
      <c r="CC85">
        <v>1</v>
      </c>
      <c r="CD85" t="s">
        <v>33</v>
      </c>
      <c r="CE85" t="s">
        <v>33</v>
      </c>
      <c r="CF85">
        <v>0.99375581755764997</v>
      </c>
      <c r="CG85" t="s">
        <v>33</v>
      </c>
      <c r="CI85">
        <f t="shared" si="5"/>
        <v>0.6542982973364333</v>
      </c>
      <c r="CJ85">
        <f t="shared" si="3"/>
        <v>0.67136974429277541</v>
      </c>
      <c r="CK85">
        <f t="shared" si="4"/>
        <v>0.99375581755764997</v>
      </c>
    </row>
    <row r="86" spans="1:89" x14ac:dyDescent="0.25">
      <c r="A86" t="s">
        <v>89</v>
      </c>
      <c r="B86" t="s">
        <v>87</v>
      </c>
      <c r="C86" s="2">
        <v>10</v>
      </c>
      <c r="D86" s="2">
        <v>1</v>
      </c>
      <c r="E86" s="2">
        <v>3</v>
      </c>
      <c r="F86" s="2">
        <v>2</v>
      </c>
      <c r="G86" s="2">
        <v>3</v>
      </c>
      <c r="H86" t="s">
        <v>33</v>
      </c>
      <c r="I86" t="s">
        <v>33</v>
      </c>
      <c r="J86" t="s">
        <v>33</v>
      </c>
      <c r="K86" t="s">
        <v>33</v>
      </c>
      <c r="L86">
        <v>0.87804878048780399</v>
      </c>
      <c r="M86">
        <v>0.72307692307692295</v>
      </c>
      <c r="N86" t="s">
        <v>33</v>
      </c>
      <c r="O86" t="s">
        <v>33</v>
      </c>
      <c r="P86" t="s">
        <v>33</v>
      </c>
      <c r="Q86">
        <v>0.85714285714285698</v>
      </c>
      <c r="R86">
        <v>0.80283873189894495</v>
      </c>
      <c r="S86" t="s">
        <v>33</v>
      </c>
      <c r="T86">
        <v>0.71428571428571397</v>
      </c>
      <c r="U86" t="s">
        <v>33</v>
      </c>
      <c r="V86" t="s">
        <v>33</v>
      </c>
      <c r="W86" t="s">
        <v>33</v>
      </c>
      <c r="X86" t="s">
        <v>33</v>
      </c>
      <c r="Y86" t="s">
        <v>33</v>
      </c>
      <c r="Z86" t="s">
        <v>33</v>
      </c>
      <c r="AA86" t="s">
        <v>33</v>
      </c>
      <c r="AB86">
        <v>0.69155676461493099</v>
      </c>
      <c r="AC86">
        <v>0.83647811191307597</v>
      </c>
      <c r="AD86" t="s">
        <v>33</v>
      </c>
      <c r="AE86">
        <v>0.65149749630099996</v>
      </c>
      <c r="AF86" t="s">
        <v>33</v>
      </c>
      <c r="AG86" t="s">
        <v>33</v>
      </c>
      <c r="AH86">
        <v>0.94660194174757195</v>
      </c>
      <c r="AI86">
        <v>0.98230088495575196</v>
      </c>
      <c r="AJ86" t="s">
        <v>33</v>
      </c>
      <c r="AK86" t="s">
        <v>33</v>
      </c>
      <c r="AL86" t="s">
        <v>33</v>
      </c>
      <c r="AM86" t="s">
        <v>33</v>
      </c>
      <c r="AN86" t="s">
        <v>33</v>
      </c>
      <c r="AO86" t="s">
        <v>33</v>
      </c>
      <c r="AP86" t="s">
        <v>33</v>
      </c>
      <c r="AQ86" t="s">
        <v>33</v>
      </c>
      <c r="AR86" t="s">
        <v>33</v>
      </c>
      <c r="AS86" t="s">
        <v>33</v>
      </c>
      <c r="AT86" t="s">
        <v>33</v>
      </c>
      <c r="AU86" t="s">
        <v>33</v>
      </c>
      <c r="AV86" t="s">
        <v>33</v>
      </c>
      <c r="AW86" t="s">
        <v>33</v>
      </c>
      <c r="AX86">
        <v>0.118002654440472</v>
      </c>
      <c r="AY86" t="s">
        <v>33</v>
      </c>
      <c r="AZ86" t="s">
        <v>33</v>
      </c>
      <c r="BA86" t="s">
        <v>33</v>
      </c>
      <c r="BB86" t="s">
        <v>33</v>
      </c>
      <c r="BC86" t="s">
        <v>33</v>
      </c>
      <c r="BD86">
        <v>0.72670807453416097</v>
      </c>
      <c r="BE86">
        <v>0.40082134264727198</v>
      </c>
      <c r="BF86">
        <v>0</v>
      </c>
      <c r="BG86" t="s">
        <v>33</v>
      </c>
      <c r="BH86" t="s">
        <v>33</v>
      </c>
      <c r="BI86" t="s">
        <v>33</v>
      </c>
      <c r="BJ86" t="s">
        <v>33</v>
      </c>
      <c r="BK86" t="s">
        <v>33</v>
      </c>
      <c r="BL86">
        <v>0.94566490252152302</v>
      </c>
      <c r="BM86" t="s">
        <v>33</v>
      </c>
      <c r="BN86">
        <v>0.654361309523809</v>
      </c>
      <c r="BO86" t="s">
        <v>33</v>
      </c>
      <c r="BP86">
        <v>0.93243243243243201</v>
      </c>
      <c r="BQ86" t="s">
        <v>33</v>
      </c>
      <c r="BR86" t="s">
        <v>33</v>
      </c>
      <c r="BS86">
        <v>0.57226618476528901</v>
      </c>
      <c r="BT86" t="s">
        <v>33</v>
      </c>
      <c r="BU86" t="s">
        <v>33</v>
      </c>
      <c r="BV86" t="s">
        <v>33</v>
      </c>
      <c r="BW86">
        <v>0.89134984720633803</v>
      </c>
      <c r="BX86">
        <v>0.65708437500000005</v>
      </c>
      <c r="BY86" t="s">
        <v>33</v>
      </c>
      <c r="BZ86" t="s">
        <v>33</v>
      </c>
      <c r="CA86">
        <v>0.994771528448953</v>
      </c>
      <c r="CB86" t="s">
        <v>33</v>
      </c>
      <c r="CC86" t="s">
        <v>33</v>
      </c>
      <c r="CD86" t="s">
        <v>33</v>
      </c>
      <c r="CE86" t="s">
        <v>33</v>
      </c>
      <c r="CF86" t="s">
        <v>33</v>
      </c>
      <c r="CG86">
        <v>0.60150375939849599</v>
      </c>
      <c r="CI86">
        <f t="shared" si="5"/>
        <v>0.81831074653397551</v>
      </c>
      <c r="CJ86">
        <f t="shared" si="3"/>
        <v>0.40569074046149395</v>
      </c>
      <c r="CK86">
        <f t="shared" si="4"/>
        <v>0.82864639254012462</v>
      </c>
    </row>
    <row r="87" spans="1:89" x14ac:dyDescent="0.25">
      <c r="A87" t="s">
        <v>61</v>
      </c>
      <c r="B87" t="s">
        <v>87</v>
      </c>
      <c r="C87" s="2">
        <v>9</v>
      </c>
      <c r="D87" s="2">
        <v>2</v>
      </c>
      <c r="E87" s="2">
        <v>1</v>
      </c>
      <c r="F87" s="2">
        <v>1</v>
      </c>
      <c r="G87" s="2">
        <v>2</v>
      </c>
      <c r="H87" t="s">
        <v>33</v>
      </c>
      <c r="I87" t="s">
        <v>33</v>
      </c>
      <c r="J87" t="s">
        <v>33</v>
      </c>
      <c r="K87" t="s">
        <v>33</v>
      </c>
      <c r="L87">
        <v>0.81818181818181801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33</v>
      </c>
      <c r="S87" t="s">
        <v>33</v>
      </c>
      <c r="T87">
        <v>0.78947368421052599</v>
      </c>
      <c r="U87" t="s">
        <v>33</v>
      </c>
      <c r="V87" t="s">
        <v>33</v>
      </c>
      <c r="W87" t="s">
        <v>33</v>
      </c>
      <c r="X87" t="s">
        <v>33</v>
      </c>
      <c r="Y87" t="s">
        <v>33</v>
      </c>
      <c r="Z87" t="s">
        <v>33</v>
      </c>
      <c r="AA87" t="s">
        <v>33</v>
      </c>
      <c r="AB87">
        <v>0.50222491436454397</v>
      </c>
      <c r="AC87" t="s">
        <v>33</v>
      </c>
      <c r="AD87" t="s">
        <v>33</v>
      </c>
      <c r="AE87" t="s">
        <v>33</v>
      </c>
      <c r="AF87">
        <v>0.71891910283563498</v>
      </c>
      <c r="AG87">
        <v>1</v>
      </c>
      <c r="AH87">
        <v>0.98251748251748205</v>
      </c>
      <c r="AI87">
        <v>0.97839506172839497</v>
      </c>
      <c r="AJ87" t="s">
        <v>33</v>
      </c>
      <c r="AK87">
        <v>1</v>
      </c>
      <c r="AL87">
        <v>0.86526420163516804</v>
      </c>
      <c r="AM87" t="s">
        <v>33</v>
      </c>
      <c r="AN87" t="s">
        <v>33</v>
      </c>
      <c r="AO87" t="s">
        <v>33</v>
      </c>
      <c r="AP87" t="s">
        <v>33</v>
      </c>
      <c r="AQ87">
        <v>0.8</v>
      </c>
      <c r="AR87">
        <v>0.7946682089182</v>
      </c>
      <c r="AS87" t="s">
        <v>33</v>
      </c>
      <c r="AT87" t="s">
        <v>33</v>
      </c>
      <c r="AU87" t="s">
        <v>33</v>
      </c>
      <c r="AV87" t="s">
        <v>33</v>
      </c>
      <c r="AW87">
        <v>0</v>
      </c>
      <c r="AX87">
        <v>1</v>
      </c>
      <c r="AY87" t="s">
        <v>33</v>
      </c>
      <c r="AZ87" t="s">
        <v>33</v>
      </c>
      <c r="BA87" t="s">
        <v>33</v>
      </c>
      <c r="BB87" t="s">
        <v>33</v>
      </c>
      <c r="BC87" t="s">
        <v>33</v>
      </c>
      <c r="BD87">
        <v>0.89333333333333298</v>
      </c>
      <c r="BE87" t="s">
        <v>33</v>
      </c>
      <c r="BF87">
        <v>0.51698336769592201</v>
      </c>
      <c r="BG87" t="s">
        <v>33</v>
      </c>
      <c r="BH87" t="s">
        <v>33</v>
      </c>
      <c r="BI87" t="s">
        <v>33</v>
      </c>
      <c r="BJ87" t="s">
        <v>33</v>
      </c>
      <c r="BK87" t="s">
        <v>33</v>
      </c>
      <c r="BL87">
        <v>0.85248677701420295</v>
      </c>
      <c r="BM87" t="s">
        <v>33</v>
      </c>
      <c r="BN87">
        <v>0.76272637514727204</v>
      </c>
      <c r="BO87" t="s">
        <v>33</v>
      </c>
      <c r="BP87">
        <v>0.94594594594594505</v>
      </c>
      <c r="BQ87" t="s">
        <v>33</v>
      </c>
      <c r="BR87" t="s">
        <v>33</v>
      </c>
      <c r="BS87">
        <v>0.40082134264727198</v>
      </c>
      <c r="BT87" t="s">
        <v>33</v>
      </c>
      <c r="BU87" t="s">
        <v>33</v>
      </c>
      <c r="BV87" t="s">
        <v>33</v>
      </c>
      <c r="BW87" t="s">
        <v>33</v>
      </c>
      <c r="BX87">
        <v>0.86721458333333301</v>
      </c>
      <c r="BY87" t="s">
        <v>33</v>
      </c>
      <c r="BZ87" t="s">
        <v>33</v>
      </c>
      <c r="CA87">
        <v>0.920417142178658</v>
      </c>
      <c r="CB87" t="s">
        <v>33</v>
      </c>
      <c r="CC87" t="s">
        <v>33</v>
      </c>
      <c r="CD87" t="s">
        <v>33</v>
      </c>
      <c r="CE87" t="s">
        <v>33</v>
      </c>
      <c r="CF87" t="s">
        <v>33</v>
      </c>
      <c r="CG87">
        <v>0.75</v>
      </c>
      <c r="CI87">
        <f t="shared" si="5"/>
        <v>0.87261955313927775</v>
      </c>
      <c r="CJ87">
        <f t="shared" si="3"/>
        <v>0.54754897105715095</v>
      </c>
      <c r="CK87">
        <f t="shared" si="4"/>
        <v>0.85071121941836658</v>
      </c>
    </row>
    <row r="88" spans="1:89" x14ac:dyDescent="0.25">
      <c r="A88" t="s">
        <v>67</v>
      </c>
      <c r="B88">
        <v>3</v>
      </c>
      <c r="H88" t="s">
        <v>33</v>
      </c>
      <c r="I88" t="s">
        <v>33</v>
      </c>
      <c r="J88" t="s">
        <v>33</v>
      </c>
      <c r="K88" t="s">
        <v>33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33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33</v>
      </c>
      <c r="Y88" t="s">
        <v>33</v>
      </c>
      <c r="Z88" t="s">
        <v>33</v>
      </c>
      <c r="AA88" t="s">
        <v>33</v>
      </c>
      <c r="AB88" t="s">
        <v>33</v>
      </c>
      <c r="AC88" t="s">
        <v>33</v>
      </c>
      <c r="AD88" t="s">
        <v>33</v>
      </c>
      <c r="AE88" t="s">
        <v>33</v>
      </c>
      <c r="AF88" t="s">
        <v>33</v>
      </c>
      <c r="AG88" t="s">
        <v>33</v>
      </c>
      <c r="AH88" t="s">
        <v>33</v>
      </c>
      <c r="AI88" t="s">
        <v>33</v>
      </c>
      <c r="AJ88" t="s">
        <v>33</v>
      </c>
      <c r="AK88" t="s">
        <v>33</v>
      </c>
      <c r="AL88" t="s">
        <v>33</v>
      </c>
      <c r="AM88" t="s">
        <v>33</v>
      </c>
      <c r="AN88" t="s">
        <v>33</v>
      </c>
      <c r="AO88" t="s">
        <v>33</v>
      </c>
      <c r="AP88" t="s">
        <v>33</v>
      </c>
      <c r="AQ88" t="s">
        <v>33</v>
      </c>
      <c r="AR88" t="s">
        <v>33</v>
      </c>
      <c r="AS88" t="s">
        <v>33</v>
      </c>
      <c r="AT88" t="s">
        <v>33</v>
      </c>
      <c r="AU88" t="s">
        <v>33</v>
      </c>
      <c r="AV88" t="s">
        <v>33</v>
      </c>
      <c r="AW88" t="s">
        <v>33</v>
      </c>
      <c r="AX88" t="s">
        <v>33</v>
      </c>
      <c r="AY88" t="s">
        <v>33</v>
      </c>
      <c r="AZ88">
        <v>0.42666666666666597</v>
      </c>
      <c r="BA88" t="s">
        <v>33</v>
      </c>
      <c r="BB88">
        <v>0.231884057971014</v>
      </c>
      <c r="BC88" t="s">
        <v>33</v>
      </c>
      <c r="BD88" t="s">
        <v>33</v>
      </c>
      <c r="BE88" t="s">
        <v>33</v>
      </c>
      <c r="BF88" t="s">
        <v>33</v>
      </c>
      <c r="BG88" t="s">
        <v>33</v>
      </c>
      <c r="BH88">
        <v>0.60919540229885005</v>
      </c>
      <c r="BI88" t="s">
        <v>33</v>
      </c>
      <c r="BJ88" t="s">
        <v>33</v>
      </c>
      <c r="BK88" t="s">
        <v>33</v>
      </c>
      <c r="BL88" t="s">
        <v>33</v>
      </c>
      <c r="BM88" t="s">
        <v>33</v>
      </c>
      <c r="BN88">
        <v>0.94723606904494995</v>
      </c>
      <c r="BO88" t="s">
        <v>33</v>
      </c>
      <c r="BP88" t="s">
        <v>33</v>
      </c>
      <c r="BQ88">
        <v>0.96460176991150404</v>
      </c>
      <c r="BR88">
        <v>0.96073081378906</v>
      </c>
      <c r="BS88" t="s">
        <v>33</v>
      </c>
      <c r="BT88">
        <v>0.56410256410256399</v>
      </c>
      <c r="BU88" t="s">
        <v>33</v>
      </c>
      <c r="BV88" t="s">
        <v>33</v>
      </c>
      <c r="BW88" t="s">
        <v>33</v>
      </c>
      <c r="BX88" t="s">
        <v>33</v>
      </c>
      <c r="BY88" t="s">
        <v>33</v>
      </c>
      <c r="BZ88" t="s">
        <v>33</v>
      </c>
      <c r="CA88" t="s">
        <v>33</v>
      </c>
      <c r="CB88">
        <v>6.9230769230769207E-2</v>
      </c>
      <c r="CC88" t="s">
        <v>33</v>
      </c>
      <c r="CD88">
        <v>9.3220338983050793E-2</v>
      </c>
      <c r="CE88" t="s">
        <v>33</v>
      </c>
      <c r="CF88" t="s">
        <v>33</v>
      </c>
      <c r="CG88" t="s">
        <v>33</v>
      </c>
      <c r="CI88">
        <f t="shared" si="5"/>
        <v>0.48995404786918473</v>
      </c>
      <c r="CJ88">
        <f t="shared" si="3"/>
        <v>0</v>
      </c>
      <c r="CK88">
        <f t="shared" si="4"/>
        <v>0.94723606904494995</v>
      </c>
    </row>
    <row r="89" spans="1:89" x14ac:dyDescent="0.25">
      <c r="A89" t="s">
        <v>68</v>
      </c>
      <c r="B89">
        <v>3</v>
      </c>
      <c r="H89" t="s">
        <v>33</v>
      </c>
      <c r="I89" t="s">
        <v>33</v>
      </c>
      <c r="J89" t="s">
        <v>33</v>
      </c>
      <c r="K89" t="s">
        <v>33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33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33</v>
      </c>
      <c r="Y89" t="s">
        <v>33</v>
      </c>
      <c r="Z89" t="s">
        <v>33</v>
      </c>
      <c r="AA89" t="s">
        <v>33</v>
      </c>
      <c r="AB89" t="s">
        <v>33</v>
      </c>
      <c r="AC89" t="s">
        <v>33</v>
      </c>
      <c r="AD89" t="s">
        <v>33</v>
      </c>
      <c r="AE89" t="s">
        <v>33</v>
      </c>
      <c r="AF89" t="s">
        <v>33</v>
      </c>
      <c r="AG89" t="s">
        <v>33</v>
      </c>
      <c r="AH89" t="s">
        <v>33</v>
      </c>
      <c r="AI89" t="s">
        <v>33</v>
      </c>
      <c r="AJ89" t="s">
        <v>33</v>
      </c>
      <c r="AK89" t="s">
        <v>33</v>
      </c>
      <c r="AL89" t="s">
        <v>33</v>
      </c>
      <c r="AM89" t="s">
        <v>33</v>
      </c>
      <c r="AN89" t="s">
        <v>33</v>
      </c>
      <c r="AO89" t="s">
        <v>33</v>
      </c>
      <c r="AP89" t="s">
        <v>33</v>
      </c>
      <c r="AQ89" t="s">
        <v>33</v>
      </c>
      <c r="AR89" t="s">
        <v>33</v>
      </c>
      <c r="AS89" t="s">
        <v>33</v>
      </c>
      <c r="AT89" t="s">
        <v>33</v>
      </c>
      <c r="AU89" t="s">
        <v>33</v>
      </c>
      <c r="AV89" t="s">
        <v>33</v>
      </c>
      <c r="AW89" t="s">
        <v>33</v>
      </c>
      <c r="AX89" t="s">
        <v>33</v>
      </c>
      <c r="AY89" t="s">
        <v>33</v>
      </c>
      <c r="AZ89">
        <v>0.92500000000000004</v>
      </c>
      <c r="BA89" t="s">
        <v>33</v>
      </c>
      <c r="BB89">
        <v>0.8</v>
      </c>
      <c r="BC89" t="s">
        <v>33</v>
      </c>
      <c r="BD89" t="s">
        <v>33</v>
      </c>
      <c r="BE89" t="s">
        <v>33</v>
      </c>
      <c r="BF89" t="s">
        <v>33</v>
      </c>
      <c r="BG89" t="s">
        <v>33</v>
      </c>
      <c r="BH89">
        <v>0.71641791044776104</v>
      </c>
      <c r="BI89" t="s">
        <v>33</v>
      </c>
      <c r="BJ89" t="s">
        <v>33</v>
      </c>
      <c r="BK89" t="s">
        <v>33</v>
      </c>
      <c r="BL89" t="s">
        <v>33</v>
      </c>
      <c r="BM89" t="s">
        <v>33</v>
      </c>
      <c r="BN89">
        <v>0.85382976425991997</v>
      </c>
      <c r="BO89" t="s">
        <v>33</v>
      </c>
      <c r="BP89" t="s">
        <v>33</v>
      </c>
      <c r="BQ89">
        <v>0.98043899734543705</v>
      </c>
      <c r="BR89">
        <v>0.97058823529411697</v>
      </c>
      <c r="BS89" t="s">
        <v>33</v>
      </c>
      <c r="BT89">
        <v>0.71428571428571397</v>
      </c>
      <c r="BU89" t="s">
        <v>33</v>
      </c>
      <c r="BV89" t="s">
        <v>33</v>
      </c>
      <c r="BW89" t="s">
        <v>33</v>
      </c>
      <c r="BX89" t="s">
        <v>33</v>
      </c>
      <c r="BY89" t="s">
        <v>33</v>
      </c>
      <c r="BZ89" t="s">
        <v>33</v>
      </c>
      <c r="CA89" t="s">
        <v>33</v>
      </c>
      <c r="CB89">
        <v>6.25E-2</v>
      </c>
      <c r="CC89" t="s">
        <v>33</v>
      </c>
      <c r="CD89">
        <v>0.51063829787234005</v>
      </c>
      <c r="CE89" t="s">
        <v>33</v>
      </c>
      <c r="CF89" t="s">
        <v>33</v>
      </c>
      <c r="CG89" t="s">
        <v>33</v>
      </c>
      <c r="CI89">
        <f t="shared" si="5"/>
        <v>0.70998364440567119</v>
      </c>
      <c r="CJ89">
        <f t="shared" si="3"/>
        <v>0</v>
      </c>
      <c r="CK89">
        <f t="shared" si="4"/>
        <v>0.85382976425991997</v>
      </c>
    </row>
    <row r="90" spans="1:89" x14ac:dyDescent="0.25">
      <c r="A90" t="s">
        <v>83</v>
      </c>
      <c r="B90" t="s">
        <v>72</v>
      </c>
      <c r="C90" s="2">
        <v>10</v>
      </c>
      <c r="D90" s="2">
        <v>3</v>
      </c>
      <c r="E90" s="2">
        <v>3</v>
      </c>
      <c r="F90" s="2">
        <v>3</v>
      </c>
      <c r="G90" s="2">
        <v>3</v>
      </c>
      <c r="H90" t="s">
        <v>33</v>
      </c>
      <c r="I90" t="s">
        <v>33</v>
      </c>
      <c r="J90">
        <v>1</v>
      </c>
      <c r="K90" t="s">
        <v>33</v>
      </c>
      <c r="L90">
        <v>0.8</v>
      </c>
      <c r="M90">
        <v>0.57407407407407396</v>
      </c>
      <c r="N90" t="s">
        <v>33</v>
      </c>
      <c r="O90">
        <v>0.703125</v>
      </c>
      <c r="P90" t="s">
        <v>33</v>
      </c>
      <c r="Q90" t="s">
        <v>33</v>
      </c>
      <c r="R90" t="s">
        <v>33</v>
      </c>
      <c r="S90" t="s">
        <v>33</v>
      </c>
      <c r="T90">
        <v>0.79166666666666596</v>
      </c>
      <c r="U90" t="s">
        <v>33</v>
      </c>
      <c r="V90" t="s">
        <v>33</v>
      </c>
      <c r="W90" t="s">
        <v>33</v>
      </c>
      <c r="X90" t="s">
        <v>33</v>
      </c>
      <c r="Y90" t="s">
        <v>33</v>
      </c>
      <c r="Z90" t="s">
        <v>33</v>
      </c>
      <c r="AA90" t="s">
        <v>33</v>
      </c>
      <c r="AB90" t="s">
        <v>33</v>
      </c>
      <c r="AC90">
        <v>0.59027203490882196</v>
      </c>
      <c r="AD90">
        <v>1</v>
      </c>
      <c r="AE90" t="s">
        <v>33</v>
      </c>
      <c r="AF90" t="s">
        <v>33</v>
      </c>
      <c r="AG90" t="s">
        <v>33</v>
      </c>
      <c r="AH90">
        <v>0.96446700507614203</v>
      </c>
      <c r="AI90">
        <v>0.98319327731092399</v>
      </c>
      <c r="AJ90" t="s">
        <v>33</v>
      </c>
      <c r="AK90">
        <v>0.64774666367849099</v>
      </c>
      <c r="AL90" t="s">
        <v>33</v>
      </c>
      <c r="AM90" t="s">
        <v>33</v>
      </c>
      <c r="AN90" t="s">
        <v>33</v>
      </c>
      <c r="AO90" t="s">
        <v>33</v>
      </c>
      <c r="AP90" t="s">
        <v>33</v>
      </c>
      <c r="AQ90" t="s">
        <v>33</v>
      </c>
      <c r="AR90" t="s">
        <v>33</v>
      </c>
      <c r="AS90" t="s">
        <v>33</v>
      </c>
      <c r="AT90" t="s">
        <v>33</v>
      </c>
      <c r="AU90" t="s">
        <v>33</v>
      </c>
      <c r="AV90" t="s">
        <v>33</v>
      </c>
      <c r="AW90">
        <v>0</v>
      </c>
      <c r="AX90">
        <v>0</v>
      </c>
      <c r="AY90" t="s">
        <v>33</v>
      </c>
      <c r="AZ90" t="s">
        <v>33</v>
      </c>
      <c r="BA90" t="s">
        <v>33</v>
      </c>
      <c r="BB90" t="s">
        <v>33</v>
      </c>
      <c r="BC90">
        <v>0</v>
      </c>
      <c r="BD90">
        <v>0.84426229508196704</v>
      </c>
      <c r="BE90">
        <v>1</v>
      </c>
      <c r="BF90">
        <v>0.48634272117494098</v>
      </c>
      <c r="BG90" t="s">
        <v>33</v>
      </c>
      <c r="BH90" t="s">
        <v>33</v>
      </c>
      <c r="BI90" t="s">
        <v>33</v>
      </c>
      <c r="BJ90">
        <v>0.8</v>
      </c>
      <c r="BK90" t="s">
        <v>33</v>
      </c>
      <c r="BL90" t="s">
        <v>33</v>
      </c>
      <c r="BM90">
        <v>0.83333333333333304</v>
      </c>
      <c r="BN90">
        <v>0.84518598858948601</v>
      </c>
      <c r="BO90" t="s">
        <v>33</v>
      </c>
      <c r="BP90">
        <v>0.89898989898989901</v>
      </c>
      <c r="BQ90" t="s">
        <v>33</v>
      </c>
      <c r="BR90" t="s">
        <v>33</v>
      </c>
      <c r="BS90">
        <v>0</v>
      </c>
      <c r="BT90" t="s">
        <v>33</v>
      </c>
      <c r="BU90" t="s">
        <v>33</v>
      </c>
      <c r="BV90" t="s">
        <v>33</v>
      </c>
      <c r="BW90" t="s">
        <v>33</v>
      </c>
      <c r="BX90" t="s">
        <v>33</v>
      </c>
      <c r="BY90">
        <v>1</v>
      </c>
      <c r="BZ90">
        <v>0.51724137931034397</v>
      </c>
      <c r="CA90" t="s">
        <v>33</v>
      </c>
      <c r="CB90" t="s">
        <v>33</v>
      </c>
      <c r="CC90" t="s">
        <v>33</v>
      </c>
      <c r="CD90" t="s">
        <v>33</v>
      </c>
      <c r="CE90" t="s">
        <v>33</v>
      </c>
      <c r="CF90">
        <v>0.99907389569562</v>
      </c>
      <c r="CG90" t="s">
        <v>33</v>
      </c>
      <c r="CI90">
        <f t="shared" si="5"/>
        <v>0.79655810856204423</v>
      </c>
      <c r="CJ90">
        <f t="shared" si="3"/>
        <v>0.35519181731070582</v>
      </c>
      <c r="CK90">
        <f t="shared" si="4"/>
        <v>0.92212994214255306</v>
      </c>
    </row>
    <row r="91" spans="1:89" x14ac:dyDescent="0.25">
      <c r="A91" t="s">
        <v>85</v>
      </c>
      <c r="B91" t="s">
        <v>72</v>
      </c>
      <c r="C91" s="2">
        <v>6</v>
      </c>
      <c r="D91" s="2">
        <v>2</v>
      </c>
      <c r="E91" s="2">
        <v>2</v>
      </c>
      <c r="F91" s="2">
        <v>2</v>
      </c>
      <c r="G91" s="2">
        <v>1</v>
      </c>
      <c r="H91" t="s">
        <v>33</v>
      </c>
      <c r="I91" t="s">
        <v>33</v>
      </c>
      <c r="J91" t="s">
        <v>33</v>
      </c>
      <c r="K91" t="s">
        <v>33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33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33</v>
      </c>
      <c r="Y91" t="s">
        <v>33</v>
      </c>
      <c r="Z91" t="s">
        <v>33</v>
      </c>
      <c r="AA91" t="s">
        <v>33</v>
      </c>
      <c r="AB91">
        <v>1</v>
      </c>
      <c r="AC91">
        <v>0.58605407021857703</v>
      </c>
      <c r="AD91" t="s">
        <v>33</v>
      </c>
      <c r="AE91" t="s">
        <v>33</v>
      </c>
      <c r="AF91" t="s">
        <v>33</v>
      </c>
      <c r="AG91" t="s">
        <v>33</v>
      </c>
      <c r="AH91">
        <v>0.61538461538461497</v>
      </c>
      <c r="AI91" t="s">
        <v>33</v>
      </c>
      <c r="AJ91" t="s">
        <v>33</v>
      </c>
      <c r="AK91" t="s">
        <v>33</v>
      </c>
      <c r="AL91">
        <v>1</v>
      </c>
      <c r="AM91" t="s">
        <v>33</v>
      </c>
      <c r="AN91" t="s">
        <v>33</v>
      </c>
      <c r="AO91" t="s">
        <v>33</v>
      </c>
      <c r="AP91" t="s">
        <v>33</v>
      </c>
      <c r="AQ91" t="s">
        <v>33</v>
      </c>
      <c r="AR91" t="s">
        <v>33</v>
      </c>
      <c r="AS91" t="s">
        <v>33</v>
      </c>
      <c r="AT91" t="s">
        <v>33</v>
      </c>
      <c r="AU91" t="s">
        <v>33</v>
      </c>
      <c r="AV91" t="s">
        <v>33</v>
      </c>
      <c r="AW91" t="s">
        <v>33</v>
      </c>
      <c r="AX91">
        <v>0</v>
      </c>
      <c r="AY91" t="s">
        <v>33</v>
      </c>
      <c r="AZ91" t="s">
        <v>33</v>
      </c>
      <c r="BA91" t="s">
        <v>33</v>
      </c>
      <c r="BB91" t="s">
        <v>33</v>
      </c>
      <c r="BC91" t="s">
        <v>33</v>
      </c>
      <c r="BD91">
        <v>0.80314960629921195</v>
      </c>
      <c r="BE91">
        <v>1</v>
      </c>
      <c r="BF91">
        <v>0.50634965869968596</v>
      </c>
      <c r="BG91" t="s">
        <v>33</v>
      </c>
      <c r="BH91" t="s">
        <v>33</v>
      </c>
      <c r="BI91" t="s">
        <v>33</v>
      </c>
      <c r="BJ91">
        <v>0.53846153846153799</v>
      </c>
      <c r="BK91" t="s">
        <v>33</v>
      </c>
      <c r="BL91" t="s">
        <v>33</v>
      </c>
      <c r="BM91">
        <v>0.45454545454545398</v>
      </c>
      <c r="BN91">
        <v>0.82265633748579803</v>
      </c>
      <c r="BO91" t="s">
        <v>33</v>
      </c>
      <c r="BP91">
        <v>0.57499999999999996</v>
      </c>
      <c r="BQ91" t="s">
        <v>33</v>
      </c>
      <c r="BR91" t="s">
        <v>33</v>
      </c>
      <c r="BS91">
        <v>0.34860254189645501</v>
      </c>
      <c r="BT91" t="s">
        <v>33</v>
      </c>
      <c r="BU91" t="s">
        <v>33</v>
      </c>
      <c r="BV91" t="s">
        <v>33</v>
      </c>
      <c r="BW91">
        <v>0.92536336173616796</v>
      </c>
      <c r="BX91" t="s">
        <v>33</v>
      </c>
      <c r="BY91">
        <v>0.34883720930232498</v>
      </c>
      <c r="BZ91">
        <v>0.76923076923076905</v>
      </c>
      <c r="CA91" t="s">
        <v>33</v>
      </c>
      <c r="CB91" t="s">
        <v>33</v>
      </c>
      <c r="CC91">
        <v>1</v>
      </c>
      <c r="CD91" t="s">
        <v>33</v>
      </c>
      <c r="CE91" t="s">
        <v>33</v>
      </c>
      <c r="CF91">
        <v>0.98983858900497601</v>
      </c>
      <c r="CG91">
        <v>0.88235294117647001</v>
      </c>
      <c r="CI91">
        <f t="shared" si="5"/>
        <v>0.65730162046189611</v>
      </c>
      <c r="CJ91">
        <f t="shared" si="3"/>
        <v>0.64249203343269012</v>
      </c>
      <c r="CK91">
        <f t="shared" si="4"/>
        <v>0.91261942940898066</v>
      </c>
    </row>
    <row r="92" spans="1:89" x14ac:dyDescent="0.25">
      <c r="A92" t="s">
        <v>60</v>
      </c>
      <c r="B92" t="s">
        <v>87</v>
      </c>
      <c r="C92" s="2">
        <v>7</v>
      </c>
      <c r="D92" s="2">
        <v>2</v>
      </c>
      <c r="E92" s="2">
        <v>1</v>
      </c>
      <c r="F92" s="2">
        <v>1</v>
      </c>
      <c r="G92" s="2">
        <v>2</v>
      </c>
      <c r="H92" t="s">
        <v>33</v>
      </c>
      <c r="I92" t="s">
        <v>33</v>
      </c>
      <c r="J92" t="s">
        <v>33</v>
      </c>
      <c r="K92" t="s">
        <v>33</v>
      </c>
      <c r="L92">
        <v>0.94736842105263097</v>
      </c>
      <c r="M92">
        <v>0.62</v>
      </c>
      <c r="N92" t="s">
        <v>33</v>
      </c>
      <c r="O92" t="s">
        <v>33</v>
      </c>
      <c r="P92" t="s">
        <v>33</v>
      </c>
      <c r="Q92" t="s">
        <v>33</v>
      </c>
      <c r="R92">
        <v>0.892066037301805</v>
      </c>
      <c r="S92" t="s">
        <v>33</v>
      </c>
      <c r="T92">
        <v>0.76923076923076905</v>
      </c>
      <c r="U92" t="s">
        <v>33</v>
      </c>
      <c r="V92" t="s">
        <v>33</v>
      </c>
      <c r="W92" t="s">
        <v>33</v>
      </c>
      <c r="X92" t="s">
        <v>33</v>
      </c>
      <c r="Y92" t="s">
        <v>33</v>
      </c>
      <c r="Z92" t="s">
        <v>33</v>
      </c>
      <c r="AA92" t="s">
        <v>33</v>
      </c>
      <c r="AB92" t="s">
        <v>33</v>
      </c>
      <c r="AC92">
        <v>0.59933711119887201</v>
      </c>
      <c r="AD92" t="s">
        <v>33</v>
      </c>
      <c r="AE92" t="s">
        <v>33</v>
      </c>
      <c r="AF92" t="s">
        <v>33</v>
      </c>
      <c r="AG92" t="s">
        <v>33</v>
      </c>
      <c r="AH92">
        <v>0.95977011494252795</v>
      </c>
      <c r="AI92">
        <v>0.96172248803827698</v>
      </c>
      <c r="AJ92" t="s">
        <v>33</v>
      </c>
      <c r="AK92">
        <v>1</v>
      </c>
      <c r="AL92" t="s">
        <v>33</v>
      </c>
      <c r="AM92" t="s">
        <v>33</v>
      </c>
      <c r="AN92" t="s">
        <v>33</v>
      </c>
      <c r="AO92" t="s">
        <v>33</v>
      </c>
      <c r="AP92" t="s">
        <v>33</v>
      </c>
      <c r="AQ92">
        <v>0.83333333333333304</v>
      </c>
      <c r="AR92">
        <v>0.434782608695652</v>
      </c>
      <c r="AS92" t="s">
        <v>33</v>
      </c>
      <c r="AT92" t="s">
        <v>33</v>
      </c>
      <c r="AU92" t="s">
        <v>33</v>
      </c>
      <c r="AV92" t="s">
        <v>33</v>
      </c>
      <c r="AW92">
        <v>0</v>
      </c>
      <c r="AX92">
        <v>0</v>
      </c>
      <c r="AY92" t="s">
        <v>33</v>
      </c>
      <c r="AZ92" t="s">
        <v>33</v>
      </c>
      <c r="BA92" t="s">
        <v>33</v>
      </c>
      <c r="BB92" t="s">
        <v>33</v>
      </c>
      <c r="BC92" t="s">
        <v>33</v>
      </c>
      <c r="BD92">
        <v>0.79310344827586199</v>
      </c>
      <c r="BE92">
        <v>1</v>
      </c>
      <c r="BF92">
        <v>0.90352442841370895</v>
      </c>
      <c r="BG92" t="s">
        <v>33</v>
      </c>
      <c r="BH92" t="s">
        <v>33</v>
      </c>
      <c r="BI92" t="s">
        <v>33</v>
      </c>
      <c r="BJ92" t="s">
        <v>33</v>
      </c>
      <c r="BK92" t="s">
        <v>33</v>
      </c>
      <c r="BL92">
        <v>0.97648013117607002</v>
      </c>
      <c r="BM92" t="s">
        <v>33</v>
      </c>
      <c r="BN92">
        <v>0.68972083333333301</v>
      </c>
      <c r="BO92" t="s">
        <v>33</v>
      </c>
      <c r="BP92">
        <v>0.86078170907696105</v>
      </c>
      <c r="BQ92" t="s">
        <v>33</v>
      </c>
      <c r="BR92" t="s">
        <v>33</v>
      </c>
      <c r="BS92" t="s">
        <v>33</v>
      </c>
      <c r="BT92" t="s">
        <v>33</v>
      </c>
      <c r="BU92" t="s">
        <v>33</v>
      </c>
      <c r="BV92" t="s">
        <v>33</v>
      </c>
      <c r="BW92" t="s">
        <v>33</v>
      </c>
      <c r="BX92">
        <v>0.58112857142857099</v>
      </c>
      <c r="BY92" t="s">
        <v>33</v>
      </c>
      <c r="BZ92" t="s">
        <v>33</v>
      </c>
      <c r="CA92">
        <v>0.97496197709043697</v>
      </c>
      <c r="CB92" t="s">
        <v>33</v>
      </c>
      <c r="CC92" t="s">
        <v>33</v>
      </c>
      <c r="CD92" t="s">
        <v>33</v>
      </c>
      <c r="CE92" t="s">
        <v>33</v>
      </c>
      <c r="CF92" t="s">
        <v>33</v>
      </c>
      <c r="CG92">
        <v>1</v>
      </c>
      <c r="CI92">
        <f t="shared" si="5"/>
        <v>0.82088431085743763</v>
      </c>
      <c r="CJ92">
        <f t="shared" si="3"/>
        <v>0.47588110710342724</v>
      </c>
      <c r="CK92">
        <f t="shared" si="4"/>
        <v>0.80557287825710266</v>
      </c>
    </row>
    <row r="93" spans="1:89" x14ac:dyDescent="0.25">
      <c r="A93" t="s">
        <v>112</v>
      </c>
      <c r="B93">
        <v>3</v>
      </c>
      <c r="H93" t="s">
        <v>33</v>
      </c>
      <c r="I93" t="s">
        <v>33</v>
      </c>
      <c r="J93" t="s">
        <v>33</v>
      </c>
      <c r="K93" t="s">
        <v>33</v>
      </c>
      <c r="L93" t="s">
        <v>33</v>
      </c>
      <c r="M93" t="s">
        <v>33</v>
      </c>
      <c r="N93" t="s">
        <v>33</v>
      </c>
      <c r="O93" t="s">
        <v>33</v>
      </c>
      <c r="P93" t="s">
        <v>33</v>
      </c>
      <c r="Q93" t="s">
        <v>33</v>
      </c>
      <c r="R93" t="s">
        <v>33</v>
      </c>
      <c r="S93" t="s">
        <v>33</v>
      </c>
      <c r="T93" t="s">
        <v>33</v>
      </c>
      <c r="U93">
        <v>0.85714285714285698</v>
      </c>
      <c r="V93" t="s">
        <v>33</v>
      </c>
      <c r="W93" t="s">
        <v>33</v>
      </c>
      <c r="X93" t="s">
        <v>33</v>
      </c>
      <c r="Y93" t="s">
        <v>33</v>
      </c>
      <c r="Z93" t="s">
        <v>33</v>
      </c>
      <c r="AA93" t="s">
        <v>33</v>
      </c>
      <c r="AB93" t="s">
        <v>33</v>
      </c>
      <c r="AC93" t="s">
        <v>33</v>
      </c>
      <c r="AD93" t="s">
        <v>33</v>
      </c>
      <c r="AE93" t="s">
        <v>33</v>
      </c>
      <c r="AF93" t="s">
        <v>33</v>
      </c>
      <c r="AG93" t="s">
        <v>33</v>
      </c>
      <c r="AH93" t="s">
        <v>33</v>
      </c>
      <c r="AI93" t="s">
        <v>33</v>
      </c>
      <c r="AJ93" t="s">
        <v>33</v>
      </c>
      <c r="AK93" t="s">
        <v>33</v>
      </c>
      <c r="AL93" t="s">
        <v>33</v>
      </c>
      <c r="AM93" t="s">
        <v>33</v>
      </c>
      <c r="AN93" t="s">
        <v>33</v>
      </c>
      <c r="AO93" t="s">
        <v>33</v>
      </c>
      <c r="AP93" t="s">
        <v>33</v>
      </c>
      <c r="AQ93" t="s">
        <v>33</v>
      </c>
      <c r="AR93" t="s">
        <v>33</v>
      </c>
      <c r="AS93" t="s">
        <v>33</v>
      </c>
      <c r="AT93" t="s">
        <v>33</v>
      </c>
      <c r="AU93" t="s">
        <v>33</v>
      </c>
      <c r="AV93" t="s">
        <v>33</v>
      </c>
      <c r="AW93" t="s">
        <v>33</v>
      </c>
      <c r="AX93" t="s">
        <v>33</v>
      </c>
      <c r="AY93" t="s">
        <v>33</v>
      </c>
      <c r="AZ93">
        <v>0.628571428571428</v>
      </c>
      <c r="BA93" t="s">
        <v>33</v>
      </c>
      <c r="BB93">
        <v>0.72463768115941996</v>
      </c>
      <c r="BC93" t="s">
        <v>33</v>
      </c>
      <c r="BD93" t="s">
        <v>33</v>
      </c>
      <c r="BE93" t="s">
        <v>33</v>
      </c>
      <c r="BF93" t="s">
        <v>33</v>
      </c>
      <c r="BG93" t="s">
        <v>33</v>
      </c>
      <c r="BH93">
        <v>0.43396226415094302</v>
      </c>
      <c r="BI93" t="s">
        <v>33</v>
      </c>
      <c r="BJ93" t="s">
        <v>33</v>
      </c>
      <c r="BK93" t="s">
        <v>33</v>
      </c>
      <c r="BL93" t="s">
        <v>33</v>
      </c>
      <c r="BM93" t="s">
        <v>33</v>
      </c>
      <c r="BN93">
        <v>0.98709314995953301</v>
      </c>
      <c r="BO93" t="s">
        <v>33</v>
      </c>
      <c r="BP93" t="s">
        <v>33</v>
      </c>
      <c r="BQ93">
        <v>0.97321428571428503</v>
      </c>
      <c r="BR93">
        <v>0.86358611010824704</v>
      </c>
      <c r="BS93" t="s">
        <v>33</v>
      </c>
      <c r="BT93">
        <v>0.93181818181818099</v>
      </c>
      <c r="BU93" t="s">
        <v>33</v>
      </c>
      <c r="BV93" t="s">
        <v>33</v>
      </c>
      <c r="BW93" t="s">
        <v>33</v>
      </c>
      <c r="BX93" t="s">
        <v>33</v>
      </c>
      <c r="BY93" t="s">
        <v>33</v>
      </c>
      <c r="BZ93" t="s">
        <v>33</v>
      </c>
      <c r="CA93" t="s">
        <v>33</v>
      </c>
      <c r="CB93">
        <v>0.4375</v>
      </c>
      <c r="CC93" t="s">
        <v>33</v>
      </c>
      <c r="CD93">
        <v>0.61764705882352899</v>
      </c>
      <c r="CE93" t="s">
        <v>33</v>
      </c>
      <c r="CF93" t="s">
        <v>33</v>
      </c>
      <c r="CG93" t="s">
        <v>33</v>
      </c>
      <c r="CI93">
        <f t="shared" si="5"/>
        <v>0.71867554083209884</v>
      </c>
      <c r="CJ93">
        <f t="shared" si="3"/>
        <v>0</v>
      </c>
      <c r="CK93">
        <f t="shared" si="4"/>
        <v>0.98709314995953301</v>
      </c>
    </row>
    <row r="94" spans="1:89" x14ac:dyDescent="0.25">
      <c r="A94" t="s">
        <v>77</v>
      </c>
      <c r="B94" t="s">
        <v>72</v>
      </c>
      <c r="C94" s="2">
        <v>3</v>
      </c>
      <c r="D94" s="2">
        <v>1</v>
      </c>
      <c r="E94" s="2">
        <v>1</v>
      </c>
      <c r="F94" s="2">
        <v>1</v>
      </c>
      <c r="G94" s="2">
        <v>1</v>
      </c>
      <c r="H94" t="s">
        <v>33</v>
      </c>
      <c r="I94" t="s">
        <v>33</v>
      </c>
      <c r="J94">
        <v>0.71428571428571397</v>
      </c>
      <c r="K94" t="s">
        <v>33</v>
      </c>
      <c r="L94">
        <v>0.91394222385409196</v>
      </c>
      <c r="M94">
        <v>0.89285714285714202</v>
      </c>
      <c r="N94" t="s">
        <v>33</v>
      </c>
      <c r="O94">
        <v>0.58823529411764697</v>
      </c>
      <c r="P94" t="s">
        <v>33</v>
      </c>
      <c r="Q94" t="s">
        <v>33</v>
      </c>
      <c r="R94" t="s">
        <v>33</v>
      </c>
      <c r="S94" t="s">
        <v>33</v>
      </c>
      <c r="T94">
        <v>0.16814159292035299</v>
      </c>
      <c r="U94" t="s">
        <v>33</v>
      </c>
      <c r="V94" t="s">
        <v>33</v>
      </c>
      <c r="W94" t="s">
        <v>33</v>
      </c>
      <c r="X94">
        <v>1</v>
      </c>
      <c r="Y94">
        <v>1</v>
      </c>
      <c r="Z94" t="s">
        <v>33</v>
      </c>
      <c r="AA94" t="s">
        <v>33</v>
      </c>
      <c r="AB94">
        <v>0.73542933551675405</v>
      </c>
      <c r="AC94">
        <v>0.33271999915342798</v>
      </c>
      <c r="AD94" t="s">
        <v>33</v>
      </c>
      <c r="AE94" t="s">
        <v>33</v>
      </c>
      <c r="AF94" t="s">
        <v>33</v>
      </c>
      <c r="AG94" t="s">
        <v>33</v>
      </c>
      <c r="AH94">
        <v>0.67441860465116199</v>
      </c>
      <c r="AI94">
        <v>0.85915492957746398</v>
      </c>
      <c r="AJ94" t="s">
        <v>33</v>
      </c>
      <c r="AK94" t="s">
        <v>33</v>
      </c>
      <c r="AL94" t="s">
        <v>33</v>
      </c>
      <c r="AM94" t="s">
        <v>33</v>
      </c>
      <c r="AN94" t="s">
        <v>33</v>
      </c>
      <c r="AO94" t="s">
        <v>33</v>
      </c>
      <c r="AP94" t="s">
        <v>33</v>
      </c>
      <c r="AQ94" t="s">
        <v>33</v>
      </c>
      <c r="AR94" t="s">
        <v>33</v>
      </c>
      <c r="AS94" t="s">
        <v>33</v>
      </c>
      <c r="AT94" t="s">
        <v>33</v>
      </c>
      <c r="AU94" t="s">
        <v>33</v>
      </c>
      <c r="AV94" t="s">
        <v>33</v>
      </c>
      <c r="AW94">
        <v>0</v>
      </c>
      <c r="AX94">
        <v>1</v>
      </c>
      <c r="AY94" t="s">
        <v>33</v>
      </c>
      <c r="AZ94" t="s">
        <v>33</v>
      </c>
      <c r="BA94" t="s">
        <v>33</v>
      </c>
      <c r="BB94" t="s">
        <v>33</v>
      </c>
      <c r="BC94" t="s">
        <v>33</v>
      </c>
      <c r="BD94">
        <v>0.80434782608695599</v>
      </c>
      <c r="BE94">
        <v>1</v>
      </c>
      <c r="BF94">
        <v>0.67324212522776505</v>
      </c>
      <c r="BG94" t="s">
        <v>33</v>
      </c>
      <c r="BH94" t="s">
        <v>33</v>
      </c>
      <c r="BI94" t="s">
        <v>33</v>
      </c>
      <c r="BJ94">
        <v>0.36363636363636298</v>
      </c>
      <c r="BK94" t="s">
        <v>33</v>
      </c>
      <c r="BL94" t="s">
        <v>33</v>
      </c>
      <c r="BM94">
        <v>0.71428571428571397</v>
      </c>
      <c r="BN94">
        <v>0.76672346796549296</v>
      </c>
      <c r="BO94" t="s">
        <v>33</v>
      </c>
      <c r="BP94">
        <v>0.54320987654320896</v>
      </c>
      <c r="BQ94" t="s">
        <v>33</v>
      </c>
      <c r="BR94" t="s">
        <v>33</v>
      </c>
      <c r="BS94">
        <v>0.34860254189645501</v>
      </c>
      <c r="BT94" t="s">
        <v>33</v>
      </c>
      <c r="BU94" t="s">
        <v>33</v>
      </c>
      <c r="BV94" t="s">
        <v>33</v>
      </c>
      <c r="BW94">
        <v>0.96341538241107505</v>
      </c>
      <c r="BX94" t="s">
        <v>33</v>
      </c>
      <c r="BY94">
        <v>0.46875</v>
      </c>
      <c r="BZ94">
        <v>0.42553191489361702</v>
      </c>
      <c r="CA94" t="s">
        <v>33</v>
      </c>
      <c r="CB94" t="s">
        <v>33</v>
      </c>
      <c r="CC94" t="s">
        <v>33</v>
      </c>
      <c r="CD94" t="s">
        <v>33</v>
      </c>
      <c r="CE94" t="s">
        <v>33</v>
      </c>
      <c r="CF94">
        <v>0.97855355568888303</v>
      </c>
      <c r="CG94" t="s">
        <v>33</v>
      </c>
      <c r="CI94">
        <f t="shared" si="5"/>
        <v>0.63090114645752393</v>
      </c>
      <c r="CJ94">
        <f t="shared" si="3"/>
        <v>0.67961057180585349</v>
      </c>
      <c r="CK94">
        <f t="shared" si="4"/>
        <v>0.90289746868848375</v>
      </c>
    </row>
    <row r="95" spans="1:89" x14ac:dyDescent="0.25">
      <c r="A95" t="s">
        <v>58</v>
      </c>
      <c r="B95" t="s">
        <v>87</v>
      </c>
      <c r="C95" s="2">
        <v>10</v>
      </c>
      <c r="D95" s="2">
        <v>2</v>
      </c>
      <c r="E95" s="2">
        <v>1</v>
      </c>
      <c r="F95" s="2">
        <v>1</v>
      </c>
      <c r="G95" s="2">
        <v>1</v>
      </c>
      <c r="H95" t="s">
        <v>33</v>
      </c>
      <c r="I95" t="s">
        <v>33</v>
      </c>
      <c r="J95" t="s">
        <v>33</v>
      </c>
      <c r="K95" t="s">
        <v>33</v>
      </c>
      <c r="L95">
        <v>1</v>
      </c>
      <c r="M95">
        <v>0.67391304347825998</v>
      </c>
      <c r="N95" t="s">
        <v>33</v>
      </c>
      <c r="O95" t="s">
        <v>33</v>
      </c>
      <c r="P95" t="s">
        <v>33</v>
      </c>
      <c r="Q95" t="s">
        <v>33</v>
      </c>
      <c r="R95">
        <v>0.54683609664475596</v>
      </c>
      <c r="S95" t="s">
        <v>33</v>
      </c>
      <c r="T95">
        <v>0.96153846153846101</v>
      </c>
      <c r="U95" t="s">
        <v>33</v>
      </c>
      <c r="V95" t="s">
        <v>33</v>
      </c>
      <c r="W95" t="s">
        <v>33</v>
      </c>
      <c r="X95" t="s">
        <v>33</v>
      </c>
      <c r="Y95" t="s">
        <v>33</v>
      </c>
      <c r="Z95" t="s">
        <v>33</v>
      </c>
      <c r="AA95" t="s">
        <v>33</v>
      </c>
      <c r="AB95" t="s">
        <v>33</v>
      </c>
      <c r="AC95" t="s">
        <v>33</v>
      </c>
      <c r="AD95" t="s">
        <v>33</v>
      </c>
      <c r="AE95" t="s">
        <v>33</v>
      </c>
      <c r="AF95">
        <v>0.47950052430805001</v>
      </c>
      <c r="AG95">
        <v>1</v>
      </c>
      <c r="AH95">
        <v>0.90886921253619501</v>
      </c>
      <c r="AI95">
        <v>0.94312409344216397</v>
      </c>
      <c r="AJ95" t="s">
        <v>33</v>
      </c>
      <c r="AK95" t="s">
        <v>33</v>
      </c>
      <c r="AL95">
        <v>0.73750493749726898</v>
      </c>
      <c r="AM95" t="s">
        <v>33</v>
      </c>
      <c r="AN95" t="s">
        <v>33</v>
      </c>
      <c r="AO95" t="s">
        <v>33</v>
      </c>
      <c r="AP95" t="s">
        <v>33</v>
      </c>
      <c r="AQ95" t="s">
        <v>33</v>
      </c>
      <c r="AR95">
        <v>0.89621028603254704</v>
      </c>
      <c r="AS95" t="s">
        <v>33</v>
      </c>
      <c r="AT95" t="s">
        <v>33</v>
      </c>
      <c r="AU95" t="s">
        <v>33</v>
      </c>
      <c r="AV95" t="s">
        <v>33</v>
      </c>
      <c r="AW95">
        <v>0</v>
      </c>
      <c r="AX95" t="s">
        <v>33</v>
      </c>
      <c r="AY95" t="s">
        <v>33</v>
      </c>
      <c r="AZ95" t="s">
        <v>33</v>
      </c>
      <c r="BA95" t="s">
        <v>33</v>
      </c>
      <c r="BB95" t="s">
        <v>33</v>
      </c>
      <c r="BC95" t="s">
        <v>33</v>
      </c>
      <c r="BD95">
        <v>0.85889570552147199</v>
      </c>
      <c r="BE95">
        <v>0.57226618476528901</v>
      </c>
      <c r="BF95">
        <v>1</v>
      </c>
      <c r="BG95" t="s">
        <v>33</v>
      </c>
      <c r="BH95" t="s">
        <v>33</v>
      </c>
      <c r="BI95" t="s">
        <v>33</v>
      </c>
      <c r="BJ95" t="s">
        <v>33</v>
      </c>
      <c r="BK95" t="s">
        <v>33</v>
      </c>
      <c r="BL95">
        <v>0.79768183647225199</v>
      </c>
      <c r="BM95" t="s">
        <v>33</v>
      </c>
      <c r="BN95">
        <v>0.83055555555555505</v>
      </c>
      <c r="BO95" t="s">
        <v>33</v>
      </c>
      <c r="BP95">
        <v>0.91779739287830597</v>
      </c>
      <c r="BQ95" t="s">
        <v>33</v>
      </c>
      <c r="BR95" t="s">
        <v>33</v>
      </c>
      <c r="BS95">
        <v>0.61619402138025503</v>
      </c>
      <c r="BT95" t="s">
        <v>33</v>
      </c>
      <c r="BU95" t="s">
        <v>33</v>
      </c>
      <c r="BV95" t="s">
        <v>33</v>
      </c>
      <c r="BW95" t="s">
        <v>33</v>
      </c>
      <c r="BX95">
        <v>0.77855606060605997</v>
      </c>
      <c r="BY95" t="s">
        <v>33</v>
      </c>
      <c r="BZ95" t="s">
        <v>33</v>
      </c>
      <c r="CA95">
        <v>0.99901261739011105</v>
      </c>
      <c r="CB95" t="s">
        <v>33</v>
      </c>
      <c r="CC95" t="s">
        <v>33</v>
      </c>
      <c r="CD95" t="s">
        <v>33</v>
      </c>
      <c r="CE95" t="s">
        <v>33</v>
      </c>
      <c r="CF95" t="s">
        <v>33</v>
      </c>
      <c r="CG95">
        <v>0.9</v>
      </c>
      <c r="CI95">
        <f t="shared" si="5"/>
        <v>0.84055706803168417</v>
      </c>
      <c r="CJ95">
        <f t="shared" si="3"/>
        <v>0.58519302872856271</v>
      </c>
      <c r="CK95">
        <f t="shared" si="4"/>
        <v>0.85145151750599446</v>
      </c>
    </row>
    <row r="96" spans="1:89" x14ac:dyDescent="0.25">
      <c r="A96" t="s">
        <v>79</v>
      </c>
      <c r="B96" t="s">
        <v>72</v>
      </c>
      <c r="C96" s="2">
        <v>6</v>
      </c>
      <c r="D96" s="2">
        <v>2</v>
      </c>
      <c r="E96" s="2">
        <v>2</v>
      </c>
      <c r="F96" s="2">
        <v>2</v>
      </c>
      <c r="G96" s="2">
        <v>2</v>
      </c>
      <c r="H96" t="s">
        <v>33</v>
      </c>
      <c r="I96" t="s">
        <v>33</v>
      </c>
      <c r="J96">
        <v>0.81081081081080997</v>
      </c>
      <c r="K96" t="s">
        <v>33</v>
      </c>
      <c r="L96">
        <v>0.87186890231242598</v>
      </c>
      <c r="M96">
        <v>0.54054054054054002</v>
      </c>
      <c r="N96" t="s">
        <v>33</v>
      </c>
      <c r="O96">
        <v>0.49180327868852403</v>
      </c>
      <c r="P96" t="s">
        <v>33</v>
      </c>
      <c r="Q96" t="s">
        <v>33</v>
      </c>
      <c r="R96" t="s">
        <v>33</v>
      </c>
      <c r="S96" t="s">
        <v>33</v>
      </c>
      <c r="T96">
        <v>0.22666666666666599</v>
      </c>
      <c r="U96" t="s">
        <v>33</v>
      </c>
      <c r="V96" t="s">
        <v>33</v>
      </c>
      <c r="W96" t="s">
        <v>33</v>
      </c>
      <c r="X96" t="s">
        <v>33</v>
      </c>
      <c r="Y96" t="s">
        <v>33</v>
      </c>
      <c r="Z96" t="s">
        <v>33</v>
      </c>
      <c r="AA96" t="s">
        <v>33</v>
      </c>
      <c r="AB96">
        <v>0.67582792143342896</v>
      </c>
      <c r="AC96">
        <v>0.59933711119887201</v>
      </c>
      <c r="AD96" t="s">
        <v>33</v>
      </c>
      <c r="AE96" t="s">
        <v>33</v>
      </c>
      <c r="AF96" t="s">
        <v>33</v>
      </c>
      <c r="AG96" t="s">
        <v>33</v>
      </c>
      <c r="AH96">
        <v>0.70588235294117596</v>
      </c>
      <c r="AI96">
        <v>0.89705882352941102</v>
      </c>
      <c r="AJ96" t="s">
        <v>33</v>
      </c>
      <c r="AK96" t="s">
        <v>33</v>
      </c>
      <c r="AL96">
        <v>0.34185456627486299</v>
      </c>
      <c r="AM96" t="s">
        <v>33</v>
      </c>
      <c r="AN96" t="s">
        <v>33</v>
      </c>
      <c r="AO96" t="s">
        <v>33</v>
      </c>
      <c r="AP96" t="s">
        <v>33</v>
      </c>
      <c r="AQ96" t="s">
        <v>33</v>
      </c>
      <c r="AR96" t="s">
        <v>33</v>
      </c>
      <c r="AS96" t="s">
        <v>33</v>
      </c>
      <c r="AT96" t="s">
        <v>33</v>
      </c>
      <c r="AU96" t="s">
        <v>33</v>
      </c>
      <c r="AV96" t="s">
        <v>33</v>
      </c>
      <c r="AW96">
        <v>0</v>
      </c>
      <c r="AX96">
        <v>0</v>
      </c>
      <c r="AY96" t="s">
        <v>33</v>
      </c>
      <c r="AZ96" t="s">
        <v>33</v>
      </c>
      <c r="BA96" t="s">
        <v>33</v>
      </c>
      <c r="BB96" t="s">
        <v>33</v>
      </c>
      <c r="BC96" t="s">
        <v>33</v>
      </c>
      <c r="BD96">
        <v>0.80254777070063699</v>
      </c>
      <c r="BE96">
        <v>1</v>
      </c>
      <c r="BF96">
        <v>0.93691137879751796</v>
      </c>
      <c r="BG96" t="s">
        <v>33</v>
      </c>
      <c r="BH96" t="s">
        <v>33</v>
      </c>
      <c r="BI96">
        <v>0.71428571428571397</v>
      </c>
      <c r="BJ96">
        <v>0.42857142857142799</v>
      </c>
      <c r="BK96" t="s">
        <v>33</v>
      </c>
      <c r="BL96" t="s">
        <v>33</v>
      </c>
      <c r="BM96">
        <v>0.68181818181818099</v>
      </c>
      <c r="BN96">
        <v>0.99475303191057396</v>
      </c>
      <c r="BO96" t="s">
        <v>33</v>
      </c>
      <c r="BP96">
        <v>0.710280373831775</v>
      </c>
      <c r="BQ96" t="s">
        <v>33</v>
      </c>
      <c r="BR96" t="s">
        <v>33</v>
      </c>
      <c r="BS96">
        <v>0.21109548169995901</v>
      </c>
      <c r="BT96" t="s">
        <v>33</v>
      </c>
      <c r="BU96" t="s">
        <v>33</v>
      </c>
      <c r="BV96" t="s">
        <v>33</v>
      </c>
      <c r="BW96">
        <v>0.892941537207673</v>
      </c>
      <c r="BX96" t="s">
        <v>33</v>
      </c>
      <c r="BY96">
        <v>1</v>
      </c>
      <c r="BZ96">
        <v>0.64102564102564097</v>
      </c>
      <c r="CA96" t="s">
        <v>33</v>
      </c>
      <c r="CB96" t="s">
        <v>33</v>
      </c>
      <c r="CC96" t="s">
        <v>33</v>
      </c>
      <c r="CD96" t="s">
        <v>33</v>
      </c>
      <c r="CE96" t="s">
        <v>33</v>
      </c>
      <c r="CF96">
        <v>0.988412583835659</v>
      </c>
      <c r="CG96" t="s">
        <v>33</v>
      </c>
      <c r="CI96">
        <f t="shared" si="5"/>
        <v>0.67483317312811997</v>
      </c>
      <c r="CJ96">
        <f t="shared" si="3"/>
        <v>0.45224133545796702</v>
      </c>
      <c r="CK96">
        <f t="shared" si="4"/>
        <v>0.95870238431796861</v>
      </c>
    </row>
    <row r="97" spans="1:89" x14ac:dyDescent="0.25">
      <c r="A97" t="s">
        <v>182</v>
      </c>
      <c r="B97">
        <v>3</v>
      </c>
      <c r="H97" t="s">
        <v>33</v>
      </c>
      <c r="I97" t="s">
        <v>33</v>
      </c>
      <c r="J97" t="s">
        <v>33</v>
      </c>
      <c r="K97" t="s">
        <v>33</v>
      </c>
      <c r="L97" t="s">
        <v>33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33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33</v>
      </c>
      <c r="Y97" t="s">
        <v>33</v>
      </c>
      <c r="Z97" t="s">
        <v>33</v>
      </c>
      <c r="AA97" t="s">
        <v>33</v>
      </c>
      <c r="AB97" t="s">
        <v>33</v>
      </c>
      <c r="AC97" t="s">
        <v>33</v>
      </c>
      <c r="AD97" t="s">
        <v>33</v>
      </c>
      <c r="AE97" t="s">
        <v>33</v>
      </c>
      <c r="AF97" t="s">
        <v>33</v>
      </c>
      <c r="AG97" t="s">
        <v>33</v>
      </c>
      <c r="AH97" t="s">
        <v>33</v>
      </c>
      <c r="AI97" t="s">
        <v>33</v>
      </c>
      <c r="AJ97" t="s">
        <v>33</v>
      </c>
      <c r="AK97" t="s">
        <v>33</v>
      </c>
      <c r="AL97" t="s">
        <v>33</v>
      </c>
      <c r="AM97" t="s">
        <v>33</v>
      </c>
      <c r="AN97" t="s">
        <v>33</v>
      </c>
      <c r="AO97" t="s">
        <v>33</v>
      </c>
      <c r="AP97" t="s">
        <v>33</v>
      </c>
      <c r="AQ97" t="s">
        <v>33</v>
      </c>
      <c r="AR97" t="s">
        <v>33</v>
      </c>
      <c r="AS97" t="s">
        <v>33</v>
      </c>
      <c r="AT97" t="s">
        <v>33</v>
      </c>
      <c r="AU97" t="s">
        <v>33</v>
      </c>
      <c r="AV97" t="s">
        <v>33</v>
      </c>
      <c r="AW97" t="s">
        <v>33</v>
      </c>
      <c r="AX97" t="s">
        <v>33</v>
      </c>
      <c r="AY97" t="s">
        <v>33</v>
      </c>
      <c r="AZ97">
        <v>0.95614035087719296</v>
      </c>
      <c r="BA97">
        <v>0.8</v>
      </c>
      <c r="BB97">
        <v>0.97315436241610698</v>
      </c>
      <c r="BC97" t="s">
        <v>33</v>
      </c>
      <c r="BD97" t="s">
        <v>33</v>
      </c>
      <c r="BE97" t="s">
        <v>33</v>
      </c>
      <c r="BF97" t="s">
        <v>33</v>
      </c>
      <c r="BG97" t="s">
        <v>33</v>
      </c>
      <c r="BH97">
        <v>0.72727272727272696</v>
      </c>
      <c r="BI97" t="s">
        <v>33</v>
      </c>
      <c r="BJ97" t="s">
        <v>33</v>
      </c>
      <c r="BK97" t="s">
        <v>33</v>
      </c>
      <c r="BL97" t="s">
        <v>33</v>
      </c>
      <c r="BM97" t="s">
        <v>33</v>
      </c>
      <c r="BN97" t="s">
        <v>33</v>
      </c>
      <c r="BO97" t="s">
        <v>33</v>
      </c>
      <c r="BP97" t="s">
        <v>33</v>
      </c>
      <c r="BQ97">
        <v>0.94117647058823495</v>
      </c>
      <c r="BR97" t="s">
        <v>33</v>
      </c>
      <c r="BS97" t="s">
        <v>33</v>
      </c>
      <c r="BT97">
        <v>0.818965517241379</v>
      </c>
      <c r="BU97" t="s">
        <v>33</v>
      </c>
      <c r="BV97" t="s">
        <v>33</v>
      </c>
      <c r="BW97" t="s">
        <v>33</v>
      </c>
      <c r="BX97" t="s">
        <v>33</v>
      </c>
      <c r="BY97" t="s">
        <v>33</v>
      </c>
      <c r="BZ97" t="s">
        <v>33</v>
      </c>
      <c r="CA97" t="s">
        <v>33</v>
      </c>
      <c r="CB97">
        <v>5.9880239520958001E-2</v>
      </c>
      <c r="CC97" t="s">
        <v>33</v>
      </c>
      <c r="CD97">
        <v>0.27619047619047599</v>
      </c>
      <c r="CE97" t="s">
        <v>33</v>
      </c>
      <c r="CF97" t="s">
        <v>33</v>
      </c>
      <c r="CG97" t="s">
        <v>33</v>
      </c>
      <c r="CI97">
        <f t="shared" si="5"/>
        <v>0.69409751801338437</v>
      </c>
      <c r="CJ97">
        <f t="shared" si="3"/>
        <v>0</v>
      </c>
      <c r="CK97">
        <f t="shared" si="4"/>
        <v>0</v>
      </c>
    </row>
    <row r="98" spans="1:89" x14ac:dyDescent="0.25">
      <c r="A98" t="s">
        <v>124</v>
      </c>
      <c r="B98">
        <v>1</v>
      </c>
      <c r="C98" s="2">
        <v>9</v>
      </c>
      <c r="D98" s="2">
        <v>3</v>
      </c>
      <c r="E98" s="2">
        <v>3</v>
      </c>
      <c r="F98" s="2">
        <v>2</v>
      </c>
      <c r="G98" s="2">
        <v>3</v>
      </c>
      <c r="H98" t="s">
        <v>33</v>
      </c>
      <c r="I98" t="s">
        <v>33</v>
      </c>
      <c r="J98" t="s">
        <v>33</v>
      </c>
      <c r="K98" t="s">
        <v>33</v>
      </c>
      <c r="L98" t="s">
        <v>33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33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33</v>
      </c>
      <c r="Y98" t="s">
        <v>33</v>
      </c>
      <c r="Z98" t="s">
        <v>33</v>
      </c>
      <c r="AA98">
        <v>1</v>
      </c>
      <c r="AB98" t="s">
        <v>33</v>
      </c>
      <c r="AC98" t="s">
        <v>33</v>
      </c>
      <c r="AD98" t="s">
        <v>33</v>
      </c>
      <c r="AE98" t="s">
        <v>33</v>
      </c>
      <c r="AF98" t="s">
        <v>33</v>
      </c>
      <c r="AG98" t="s">
        <v>33</v>
      </c>
      <c r="AH98" t="s">
        <v>33</v>
      </c>
      <c r="AI98" t="s">
        <v>33</v>
      </c>
      <c r="AJ98" t="s">
        <v>33</v>
      </c>
      <c r="AK98" t="s">
        <v>33</v>
      </c>
      <c r="AL98" t="s">
        <v>33</v>
      </c>
      <c r="AM98" t="s">
        <v>33</v>
      </c>
      <c r="AN98" t="s">
        <v>33</v>
      </c>
      <c r="AO98" t="s">
        <v>33</v>
      </c>
      <c r="AP98">
        <v>1</v>
      </c>
      <c r="AQ98" t="s">
        <v>33</v>
      </c>
      <c r="AR98">
        <v>0.196721311475409</v>
      </c>
      <c r="AS98" t="s">
        <v>33</v>
      </c>
      <c r="AT98" t="s">
        <v>33</v>
      </c>
      <c r="AU98" t="s">
        <v>33</v>
      </c>
      <c r="AV98">
        <v>0</v>
      </c>
      <c r="AW98" t="s">
        <v>33</v>
      </c>
      <c r="AX98" t="s">
        <v>33</v>
      </c>
      <c r="AY98" t="s">
        <v>33</v>
      </c>
      <c r="AZ98" t="s">
        <v>33</v>
      </c>
      <c r="BA98" t="s">
        <v>33</v>
      </c>
      <c r="BB98" t="s">
        <v>33</v>
      </c>
      <c r="BC98" t="s">
        <v>33</v>
      </c>
      <c r="BD98" t="s">
        <v>33</v>
      </c>
      <c r="BE98" t="s">
        <v>33</v>
      </c>
      <c r="BF98">
        <v>0.78628972313847501</v>
      </c>
      <c r="BG98" t="s">
        <v>33</v>
      </c>
      <c r="BH98" t="s">
        <v>33</v>
      </c>
      <c r="BI98" t="s">
        <v>33</v>
      </c>
      <c r="BJ98" t="s">
        <v>33</v>
      </c>
      <c r="BK98" t="s">
        <v>33</v>
      </c>
      <c r="BL98" t="s">
        <v>33</v>
      </c>
      <c r="BM98" t="s">
        <v>33</v>
      </c>
      <c r="BN98" t="s">
        <v>33</v>
      </c>
      <c r="BO98" t="s">
        <v>33</v>
      </c>
      <c r="BP98" t="s">
        <v>33</v>
      </c>
      <c r="BQ98" t="s">
        <v>33</v>
      </c>
      <c r="BR98" t="s">
        <v>33</v>
      </c>
      <c r="BS98">
        <v>0</v>
      </c>
      <c r="BT98" t="s">
        <v>33</v>
      </c>
      <c r="BU98" t="s">
        <v>33</v>
      </c>
      <c r="BV98">
        <v>0.70855719571711595</v>
      </c>
      <c r="BW98">
        <v>0.55277777777777704</v>
      </c>
      <c r="BX98" t="s">
        <v>33</v>
      </c>
      <c r="BY98" t="s">
        <v>33</v>
      </c>
      <c r="BZ98" t="s">
        <v>33</v>
      </c>
      <c r="CA98" t="s">
        <v>33</v>
      </c>
      <c r="CB98" t="s">
        <v>33</v>
      </c>
      <c r="CC98" t="s">
        <v>33</v>
      </c>
      <c r="CD98" t="s">
        <v>33</v>
      </c>
      <c r="CE98" t="s">
        <v>33</v>
      </c>
      <c r="CF98" t="s">
        <v>33</v>
      </c>
      <c r="CG98" t="s">
        <v>33</v>
      </c>
      <c r="CI98">
        <f t="shared" si="5"/>
        <v>0.59836065573770447</v>
      </c>
      <c r="CJ98">
        <f t="shared" si="3"/>
        <v>0.44657243078461872</v>
      </c>
      <c r="CK98">
        <f t="shared" si="4"/>
        <v>0.63066748674744644</v>
      </c>
    </row>
    <row r="99" spans="1:89" x14ac:dyDescent="0.25">
      <c r="A99" t="s">
        <v>70</v>
      </c>
      <c r="B99" t="s">
        <v>72</v>
      </c>
      <c r="C99" s="2">
        <v>9</v>
      </c>
      <c r="D99" s="2">
        <v>2</v>
      </c>
      <c r="E99" s="2">
        <v>3</v>
      </c>
      <c r="F99" s="2">
        <v>2</v>
      </c>
      <c r="G99" s="2">
        <v>2</v>
      </c>
      <c r="H99" t="s">
        <v>33</v>
      </c>
      <c r="I99" t="s">
        <v>33</v>
      </c>
      <c r="J99">
        <v>0.90909090909090895</v>
      </c>
      <c r="K99" t="s">
        <v>33</v>
      </c>
      <c r="L99" t="s">
        <v>33</v>
      </c>
      <c r="M99" t="s">
        <v>33</v>
      </c>
      <c r="N99" t="s">
        <v>33</v>
      </c>
      <c r="O99">
        <v>0.23706896551724099</v>
      </c>
      <c r="P99">
        <v>0.70588235294117596</v>
      </c>
      <c r="Q99" t="s">
        <v>33</v>
      </c>
      <c r="R99" t="s">
        <v>33</v>
      </c>
      <c r="S99" t="s">
        <v>33</v>
      </c>
      <c r="T99">
        <v>0.78947368421052599</v>
      </c>
      <c r="U99" t="s">
        <v>33</v>
      </c>
      <c r="V99" t="s">
        <v>33</v>
      </c>
      <c r="W99" t="s">
        <v>33</v>
      </c>
      <c r="X99" t="s">
        <v>33</v>
      </c>
      <c r="Y99" t="s">
        <v>33</v>
      </c>
      <c r="Z99" t="s">
        <v>33</v>
      </c>
      <c r="AA99" t="s">
        <v>33</v>
      </c>
      <c r="AB99">
        <v>0.30049939018982202</v>
      </c>
      <c r="AC99">
        <v>0.56118165872814296</v>
      </c>
      <c r="AD99" t="s">
        <v>33</v>
      </c>
      <c r="AE99" t="s">
        <v>33</v>
      </c>
      <c r="AF99" t="s">
        <v>33</v>
      </c>
      <c r="AG99" t="s">
        <v>33</v>
      </c>
      <c r="AH99">
        <v>0.952380952380952</v>
      </c>
      <c r="AI99">
        <v>0.95615803533087795</v>
      </c>
      <c r="AJ99" t="s">
        <v>33</v>
      </c>
      <c r="AK99">
        <v>1</v>
      </c>
      <c r="AL99">
        <v>0.72795076343986598</v>
      </c>
      <c r="AM99" t="s">
        <v>33</v>
      </c>
      <c r="AN99" t="s">
        <v>33</v>
      </c>
      <c r="AO99" t="s">
        <v>33</v>
      </c>
      <c r="AP99" t="s">
        <v>33</v>
      </c>
      <c r="AQ99" t="s">
        <v>33</v>
      </c>
      <c r="AR99" t="s">
        <v>33</v>
      </c>
      <c r="AS99" t="s">
        <v>33</v>
      </c>
      <c r="AT99" t="s">
        <v>33</v>
      </c>
      <c r="AU99" t="s">
        <v>33</v>
      </c>
      <c r="AV99" t="s">
        <v>33</v>
      </c>
      <c r="AW99" t="s">
        <v>33</v>
      </c>
      <c r="AX99">
        <v>1</v>
      </c>
      <c r="AY99" t="s">
        <v>33</v>
      </c>
      <c r="AZ99" t="s">
        <v>33</v>
      </c>
      <c r="BA99" t="s">
        <v>33</v>
      </c>
      <c r="BB99" t="s">
        <v>33</v>
      </c>
      <c r="BC99" t="s">
        <v>33</v>
      </c>
      <c r="BD99">
        <v>0.78813559322033899</v>
      </c>
      <c r="BE99">
        <v>1</v>
      </c>
      <c r="BF99">
        <v>0.77671328404376305</v>
      </c>
      <c r="BG99" t="s">
        <v>33</v>
      </c>
      <c r="BH99" t="s">
        <v>33</v>
      </c>
      <c r="BI99" t="s">
        <v>33</v>
      </c>
      <c r="BJ99">
        <v>0.375</v>
      </c>
      <c r="BK99" t="s">
        <v>33</v>
      </c>
      <c r="BL99" t="s">
        <v>33</v>
      </c>
      <c r="BM99">
        <v>0.66666666666666596</v>
      </c>
      <c r="BN99">
        <v>0.98197189713348798</v>
      </c>
      <c r="BO99" t="s">
        <v>33</v>
      </c>
      <c r="BP99">
        <v>0.90909090909090895</v>
      </c>
      <c r="BQ99" t="s">
        <v>33</v>
      </c>
      <c r="BR99" t="s">
        <v>33</v>
      </c>
      <c r="BS99" t="s">
        <v>33</v>
      </c>
      <c r="BT99" t="s">
        <v>33</v>
      </c>
      <c r="BU99" t="s">
        <v>33</v>
      </c>
      <c r="BV99" t="s">
        <v>33</v>
      </c>
      <c r="BW99">
        <v>0.82665702130389496</v>
      </c>
      <c r="BX99" t="s">
        <v>33</v>
      </c>
      <c r="BY99">
        <v>0.78125</v>
      </c>
      <c r="BZ99">
        <v>0.68181818181818099</v>
      </c>
      <c r="CA99" t="s">
        <v>33</v>
      </c>
      <c r="CB99" t="s">
        <v>33</v>
      </c>
      <c r="CC99" t="s">
        <v>33</v>
      </c>
      <c r="CD99" t="s">
        <v>33</v>
      </c>
      <c r="CE99" t="s">
        <v>33</v>
      </c>
      <c r="CF99">
        <v>1</v>
      </c>
      <c r="CG99">
        <v>1</v>
      </c>
      <c r="CI99">
        <f t="shared" si="5"/>
        <v>0.7542131939330613</v>
      </c>
      <c r="CJ99">
        <f t="shared" si="3"/>
        <v>0.76103268753469022</v>
      </c>
      <c r="CK99">
        <f t="shared" si="4"/>
        <v>0.93620963947912761</v>
      </c>
    </row>
    <row r="100" spans="1:89" x14ac:dyDescent="0.25">
      <c r="A100" t="s">
        <v>114</v>
      </c>
      <c r="B100">
        <v>1</v>
      </c>
      <c r="C100" s="2">
        <v>10</v>
      </c>
      <c r="D100" s="2">
        <v>3</v>
      </c>
      <c r="E100" s="2">
        <v>3</v>
      </c>
      <c r="F100" s="2">
        <v>2</v>
      </c>
      <c r="G100" s="2">
        <v>3</v>
      </c>
      <c r="H100" t="s">
        <v>33</v>
      </c>
      <c r="I100" t="s">
        <v>33</v>
      </c>
      <c r="J100" t="s">
        <v>33</v>
      </c>
      <c r="K100" t="s">
        <v>33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33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  <c r="X100" t="s">
        <v>33</v>
      </c>
      <c r="Y100" t="s">
        <v>33</v>
      </c>
      <c r="Z100" t="s">
        <v>33</v>
      </c>
      <c r="AA100">
        <v>0.64483158972853505</v>
      </c>
      <c r="AB100" t="s">
        <v>33</v>
      </c>
      <c r="AC100" t="s">
        <v>33</v>
      </c>
      <c r="AD100" t="s">
        <v>33</v>
      </c>
      <c r="AE100" t="s">
        <v>33</v>
      </c>
      <c r="AF100" t="s">
        <v>33</v>
      </c>
      <c r="AG100" t="s">
        <v>33</v>
      </c>
      <c r="AH100" t="s">
        <v>33</v>
      </c>
      <c r="AI100" t="s">
        <v>33</v>
      </c>
      <c r="AJ100" t="s">
        <v>33</v>
      </c>
      <c r="AK100" t="s">
        <v>33</v>
      </c>
      <c r="AL100" t="s">
        <v>33</v>
      </c>
      <c r="AM100" t="s">
        <v>33</v>
      </c>
      <c r="AN100" t="s">
        <v>33</v>
      </c>
      <c r="AO100" t="s">
        <v>33</v>
      </c>
      <c r="AP100">
        <v>0.72795076343986598</v>
      </c>
      <c r="AQ100" t="s">
        <v>33</v>
      </c>
      <c r="AR100">
        <v>0.22448979591836701</v>
      </c>
      <c r="AS100" t="s">
        <v>33</v>
      </c>
      <c r="AT100" t="s">
        <v>33</v>
      </c>
      <c r="AU100" t="s">
        <v>33</v>
      </c>
      <c r="AV100">
        <v>0</v>
      </c>
      <c r="AW100">
        <v>0</v>
      </c>
      <c r="AX100" t="s">
        <v>33</v>
      </c>
      <c r="AY100" t="s">
        <v>33</v>
      </c>
      <c r="AZ100" t="s">
        <v>33</v>
      </c>
      <c r="BA100" t="s">
        <v>33</v>
      </c>
      <c r="BB100" t="s">
        <v>33</v>
      </c>
      <c r="BC100" t="s">
        <v>33</v>
      </c>
      <c r="BD100" t="s">
        <v>33</v>
      </c>
      <c r="BE100" t="s">
        <v>33</v>
      </c>
      <c r="BF100">
        <v>0.265058225332922</v>
      </c>
      <c r="BG100" t="s">
        <v>33</v>
      </c>
      <c r="BH100" t="s">
        <v>33</v>
      </c>
      <c r="BI100" t="s">
        <v>33</v>
      </c>
      <c r="BJ100" t="s">
        <v>33</v>
      </c>
      <c r="BK100" t="s">
        <v>33</v>
      </c>
      <c r="BL100" t="s">
        <v>33</v>
      </c>
      <c r="BM100" t="s">
        <v>33</v>
      </c>
      <c r="BN100" t="s">
        <v>33</v>
      </c>
      <c r="BO100" t="s">
        <v>33</v>
      </c>
      <c r="BP100" t="s">
        <v>33</v>
      </c>
      <c r="BQ100" t="s">
        <v>33</v>
      </c>
      <c r="BR100" t="s">
        <v>33</v>
      </c>
      <c r="BS100">
        <v>1</v>
      </c>
      <c r="BT100" t="s">
        <v>33</v>
      </c>
      <c r="BU100" t="s">
        <v>33</v>
      </c>
      <c r="BV100">
        <v>0.93118013147647505</v>
      </c>
      <c r="BW100">
        <v>0.620050641025641</v>
      </c>
      <c r="BX100" t="s">
        <v>33</v>
      </c>
      <c r="BY100" t="s">
        <v>33</v>
      </c>
      <c r="BZ100" t="s">
        <v>33</v>
      </c>
      <c r="CA100" t="s">
        <v>33</v>
      </c>
      <c r="CB100" t="s">
        <v>33</v>
      </c>
      <c r="CC100" t="s">
        <v>33</v>
      </c>
      <c r="CD100" t="s">
        <v>33</v>
      </c>
      <c r="CE100" t="s">
        <v>33</v>
      </c>
      <c r="CF100" t="s">
        <v>33</v>
      </c>
      <c r="CG100" t="s">
        <v>33</v>
      </c>
      <c r="CI100">
        <f t="shared" si="5"/>
        <v>0.43466069282345104</v>
      </c>
      <c r="CJ100">
        <f t="shared" si="3"/>
        <v>0.39860179775455756</v>
      </c>
      <c r="CK100">
        <f t="shared" si="4"/>
        <v>0.77561538625105797</v>
      </c>
    </row>
  </sheetData>
  <autoFilter ref="A1:CG100">
    <sortState ref="A5:CG100">
      <sortCondition ref="A1:A100"/>
    </sortState>
  </autoFilter>
  <dataValidations disablePrompts="1" count="4">
    <dataValidation type="list" allowBlank="1" showInputMessage="1" showErrorMessage="1" sqref="E1">
      <formula1>$P$2:$P$3</formula1>
    </dataValidation>
    <dataValidation type="list" allowBlank="1" showInputMessage="1" showErrorMessage="1" sqref="F1">
      <formula1>$Q$2:$Q$4</formula1>
    </dataValidation>
    <dataValidation type="list" allowBlank="1" showInputMessage="1" showErrorMessage="1" sqref="D1">
      <formula1>$O$2:$O$3</formula1>
    </dataValidation>
    <dataValidation type="list" allowBlank="1" showInputMessage="1" showErrorMessage="1" sqref="G1">
      <formula1>$R$2:$R$3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Roko</dc:creator>
  <cp:lastModifiedBy>Roko</cp:lastModifiedBy>
  <dcterms:created xsi:type="dcterms:W3CDTF">2017-06-21T06:24:49Z</dcterms:created>
  <dcterms:modified xsi:type="dcterms:W3CDTF">2017-06-26T15:20:43Z</dcterms:modified>
</cp:coreProperties>
</file>