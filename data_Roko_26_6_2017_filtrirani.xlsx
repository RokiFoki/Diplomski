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Roko\Desktop\Diplomski\"/>
    </mc:Choice>
  </mc:AlternateContent>
  <bookViews>
    <workbookView xWindow="0" yWindow="0" windowWidth="28800" windowHeight="10635"/>
  </bookViews>
  <sheets>
    <sheet name="data" sheetId="1" r:id="rId1"/>
  </sheets>
  <definedNames>
    <definedName name="_xlnm._FilterDatabase" localSheetId="0" hidden="1">data!$A$1:$CG$100</definedName>
  </definedNames>
  <calcPr calcId="171027"/>
</workbook>
</file>

<file path=xl/calcChain.xml><?xml version="1.0" encoding="utf-8"?>
<calcChain xmlns="http://schemas.openxmlformats.org/spreadsheetml/2006/main">
  <c r="CJ100" i="1" l="1"/>
  <c r="CJ99" i="1"/>
  <c r="CJ98" i="1"/>
  <c r="CJ97" i="1"/>
  <c r="CJ96" i="1"/>
  <c r="CJ95" i="1"/>
  <c r="CJ94" i="1"/>
  <c r="CJ93" i="1"/>
  <c r="CJ92" i="1"/>
  <c r="CJ91" i="1"/>
  <c r="CJ90" i="1"/>
  <c r="CJ89" i="1"/>
  <c r="CJ88" i="1"/>
  <c r="CJ87" i="1"/>
  <c r="CJ86" i="1"/>
  <c r="CJ85" i="1"/>
  <c r="CJ84" i="1"/>
  <c r="CJ83" i="1"/>
  <c r="CJ82" i="1"/>
  <c r="CJ81" i="1"/>
  <c r="CJ80" i="1"/>
  <c r="CJ79" i="1"/>
  <c r="CJ78" i="1"/>
  <c r="CJ77" i="1"/>
  <c r="CJ76" i="1"/>
  <c r="CJ75" i="1"/>
  <c r="CJ74" i="1"/>
  <c r="CJ73" i="1"/>
  <c r="CJ72" i="1"/>
  <c r="CJ71" i="1"/>
  <c r="CJ70" i="1"/>
  <c r="CJ69" i="1"/>
  <c r="CJ68" i="1"/>
  <c r="CJ67" i="1"/>
  <c r="CJ66" i="1"/>
  <c r="CJ65" i="1"/>
  <c r="CJ64" i="1"/>
  <c r="CJ63" i="1"/>
  <c r="CJ62" i="1"/>
  <c r="CJ61" i="1"/>
  <c r="CJ60" i="1"/>
  <c r="CJ59" i="1"/>
  <c r="CJ58" i="1"/>
  <c r="CJ57" i="1"/>
  <c r="CJ56" i="1"/>
  <c r="CJ55" i="1"/>
  <c r="CJ54" i="1"/>
  <c r="CJ53" i="1"/>
  <c r="CJ52" i="1"/>
  <c r="CJ51" i="1"/>
  <c r="CJ50" i="1"/>
  <c r="CJ49" i="1"/>
  <c r="CJ48" i="1"/>
  <c r="CJ47" i="1"/>
  <c r="CJ46" i="1"/>
  <c r="CJ45" i="1"/>
  <c r="CJ44" i="1"/>
  <c r="CJ43" i="1"/>
  <c r="CJ42" i="1"/>
  <c r="CJ41" i="1"/>
  <c r="CJ40" i="1"/>
  <c r="CJ39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CJ5" i="1"/>
  <c r="CJ4" i="1"/>
  <c r="CJ3" i="1"/>
  <c r="CJ2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  <c r="CI3" i="1"/>
  <c r="CI2" i="1"/>
  <c r="CK100" i="1" l="1"/>
  <c r="CK19" i="1"/>
  <c r="CK99" i="1"/>
  <c r="CK98" i="1"/>
  <c r="CK97" i="1"/>
  <c r="CK96" i="1"/>
  <c r="CK95" i="1"/>
  <c r="CK94" i="1"/>
  <c r="CK93" i="1"/>
  <c r="CK92" i="1"/>
  <c r="CK91" i="1"/>
  <c r="CK90" i="1"/>
  <c r="CK89" i="1"/>
  <c r="CK88" i="1"/>
  <c r="CK87" i="1"/>
  <c r="CK86" i="1"/>
  <c r="CK85" i="1"/>
  <c r="CK84" i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K68" i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K52" i="1"/>
  <c r="CK51" i="1"/>
  <c r="CK50" i="1"/>
  <c r="CK49" i="1"/>
  <c r="CK48" i="1"/>
  <c r="CK47" i="1"/>
  <c r="CK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K6" i="1"/>
  <c r="CK5" i="1"/>
  <c r="CK4" i="1"/>
  <c r="CK3" i="1"/>
  <c r="CK2" i="1"/>
</calcChain>
</file>

<file path=xl/sharedStrings.xml><?xml version="1.0" encoding="utf-8"?>
<sst xmlns="http://schemas.openxmlformats.org/spreadsheetml/2006/main" count="2046" uniqueCount="139">
  <si>
    <t>name</t>
  </si>
  <si>
    <t>01.12.2016_collaborative</t>
  </si>
  <si>
    <t>09.12.2016_collaborative</t>
  </si>
  <si>
    <t>18.01.2017_collaborative</t>
  </si>
  <si>
    <t>19.01.2017_collaborative</t>
  </si>
  <si>
    <t>22.02.2017_collaborative</t>
  </si>
  <si>
    <t>01.03.2017_AR</t>
  </si>
  <si>
    <t>02.03.2017_AR</t>
  </si>
  <si>
    <t>03.03.2017_AR</t>
  </si>
  <si>
    <t>23.03.2017_collaborative</t>
  </si>
  <si>
    <t>11.04.2017_AR</t>
  </si>
  <si>
    <t>12.04.2017_AR</t>
  </si>
  <si>
    <t>09.05.2017_AR</t>
  </si>
  <si>
    <t>11.05.2017_AR</t>
  </si>
  <si>
    <t>25.05.2017_AR</t>
  </si>
  <si>
    <t>ADRIJANA BERC</t>
  </si>
  <si>
    <t xml:space="preserve"> </t>
  </si>
  <si>
    <t>ANDRIJA BILOGLAV</t>
  </si>
  <si>
    <t>JOSIP BILOGLAV</t>
  </si>
  <si>
    <t>JANA  BRADVICA</t>
  </si>
  <si>
    <t>DINO BRANICA</t>
  </si>
  <si>
    <t>ANTONIJA BUCKAL</t>
  </si>
  <si>
    <t>DORA BUKAL</t>
  </si>
  <si>
    <t>LORENA DOMANCIC</t>
  </si>
  <si>
    <t>IVAN DOMINIK DIVJAK</t>
  </si>
  <si>
    <t>LEA DVOJKOVIC</t>
  </si>
  <si>
    <t>TONKA FERDEBAR</t>
  </si>
  <si>
    <t>LUKA FRANIC</t>
  </si>
  <si>
    <t>ANJA GARDIJAN</t>
  </si>
  <si>
    <t>FRAN GLAS</t>
  </si>
  <si>
    <t>GITA HAINSKI</t>
  </si>
  <si>
    <t>LEON  HOTKO</t>
  </si>
  <si>
    <t>LUKA HOTKO</t>
  </si>
  <si>
    <t>MIA HRANILOVIC</t>
  </si>
  <si>
    <t>ADRIAN HRUBI</t>
  </si>
  <si>
    <t>GABRIELA JAGAR</t>
  </si>
  <si>
    <t>ISKRA JAKOB</t>
  </si>
  <si>
    <t>LOVRO KAIC</t>
  </si>
  <si>
    <t>OMAR KARALIC</t>
  </si>
  <si>
    <t>LARA MAJER</t>
  </si>
  <si>
    <t>NATALY  MARCAPAN-KRESNIK</t>
  </si>
  <si>
    <t>VILIM MARTINIS</t>
  </si>
  <si>
    <t>LEON MATE</t>
  </si>
  <si>
    <t>NINA MATE</t>
  </si>
  <si>
    <t>MATEA MELHER</t>
  </si>
  <si>
    <t>NIKO NOVAK</t>
  </si>
  <si>
    <t>JANA OSMAK</t>
  </si>
  <si>
    <t>FILIP PERESTEGI</t>
  </si>
  <si>
    <t>LOVRO PERESTEGI</t>
  </si>
  <si>
    <t>FILIP SEKELJ</t>
  </si>
  <si>
    <t>KRUNO  TRESK</t>
  </si>
  <si>
    <t>MATEJ  VALER</t>
  </si>
  <si>
    <t>JURAJ VUGRIN</t>
  </si>
  <si>
    <t>VITO ZAVRTNIK</t>
  </si>
  <si>
    <t>razred</t>
  </si>
  <si>
    <t>2a</t>
  </si>
  <si>
    <t>AZER BEŠIĆ</t>
  </si>
  <si>
    <t>GABRIELA CIKAČ</t>
  </si>
  <si>
    <t>LANA DOBRILOVIĆ</t>
  </si>
  <si>
    <t>ANJA DŽAKULA</t>
  </si>
  <si>
    <t>STJEPAN FILOTAŠ</t>
  </si>
  <si>
    <t>ANDELON FILOTAŠ </t>
  </si>
  <si>
    <t>VITA JERGOVIĆ</t>
  </si>
  <si>
    <t>KORINA MATOŠEVIĆ</t>
  </si>
  <si>
    <t>BARBARA MIKOVIĆ</t>
  </si>
  <si>
    <t>LARA SHEK BRNARDIĆ</t>
  </si>
  <si>
    <t>MARIN ŠEGO</t>
  </si>
  <si>
    <t>LAURA ŠUG</t>
  </si>
  <si>
    <t>ROBERTINO VEREŠ</t>
  </si>
  <si>
    <t>KIRA DIADRA VOJNOVIĆ</t>
  </si>
  <si>
    <t>2b</t>
  </si>
  <si>
    <t xml:space="preserve">EVA GLAVINIĆ </t>
  </si>
  <si>
    <t xml:space="preserve">LUKA ĐURIK </t>
  </si>
  <si>
    <t xml:space="preserve">BENJAMIN HADŽIĆ </t>
  </si>
  <si>
    <t>ANAMARIJA KNEŽEVIĆ</t>
  </si>
  <si>
    <t xml:space="preserve">KATARINA OMRČANIN </t>
  </si>
  <si>
    <t>DINO RIZVANOVIĆ ALVEDIN</t>
  </si>
  <si>
    <t xml:space="preserve">ELA SORIĆ </t>
  </si>
  <si>
    <t>EVA SORIĆ</t>
  </si>
  <si>
    <t>IVAN VUJNOVIĆ</t>
  </si>
  <si>
    <t>EMANUEL  ČAJSA</t>
  </si>
  <si>
    <t>STIPE  ČULINA</t>
  </si>
  <si>
    <t>BRUNO  ĆURČIĆ</t>
  </si>
  <si>
    <t>VITO   ĆURČIĆ</t>
  </si>
  <si>
    <t>IVAN  DEKOVIĆ</t>
  </si>
  <si>
    <t>ALAN  DIKLIĆ</t>
  </si>
  <si>
    <t>ROKO  DUIĆ</t>
  </si>
  <si>
    <t>FRAN  FILIPOVIĆ</t>
  </si>
  <si>
    <t>ALINA  JANDRIĆ</t>
  </si>
  <si>
    <t>MAŠA  KLASIĆ</t>
  </si>
  <si>
    <t>SIMON  LEŠ</t>
  </si>
  <si>
    <t>LEONARDA  MARKUŠIĆ</t>
  </si>
  <si>
    <t>LUKA  PRUGOVEČKI</t>
  </si>
  <si>
    <t>MARKS RUDOLF  RENDULIĆ</t>
  </si>
  <si>
    <t>MARINA SARAJČIĆ</t>
  </si>
  <si>
    <t>LEON  VUJNOVIĆ</t>
  </si>
  <si>
    <t>DOMAGOJ ŠUK</t>
  </si>
  <si>
    <t>VITO ŠIMIĆ</t>
  </si>
  <si>
    <t>TENA SAHER MIJATOVIĆ</t>
  </si>
  <si>
    <t>TARA POMAHAČ</t>
  </si>
  <si>
    <t>DAMIAN PAVLOVIĆ</t>
  </si>
  <si>
    <t>HELENA MIHALJEVIĆ</t>
  </si>
  <si>
    <t>EMA SARA MATOŠEVIĆ</t>
  </si>
  <si>
    <t>STJEPAN MARKUŠIĆ</t>
  </si>
  <si>
    <t>PATRIK KRIŽANČIĆ</t>
  </si>
  <si>
    <t>NATALI KONJAČIĆ</t>
  </si>
  <si>
    <t>MARKO KNEŽEVIĆ</t>
  </si>
  <si>
    <t>VITO IVANUŠ</t>
  </si>
  <si>
    <t>ISAK HASANOVIĆ</t>
  </si>
  <si>
    <t>HANA HADŽIĆ</t>
  </si>
  <si>
    <t>NIKO ČERINA</t>
  </si>
  <si>
    <t>NOA ČASTEK</t>
  </si>
  <si>
    <t>NICOLLE BLAŽINIĆ</t>
  </si>
  <si>
    <t>DOMINIK BILUŠ BERGLUND</t>
  </si>
  <si>
    <t>DAVID MATOŠEVIĆ</t>
  </si>
  <si>
    <t>TENA  BUKOVAC</t>
  </si>
  <si>
    <t>TIA  BRTAN</t>
  </si>
  <si>
    <t>17.11.2016_competitive</t>
  </si>
  <si>
    <t>24.11.2016_competitive</t>
  </si>
  <si>
    <t>26.01.2017_competitive</t>
  </si>
  <si>
    <t>31.01.2017_competitive</t>
  </si>
  <si>
    <t>17.02.2017_competitive</t>
  </si>
  <si>
    <t>27.02.2017_competitive</t>
  </si>
  <si>
    <t>16.03.2017_competitive</t>
  </si>
  <si>
    <t>04.04.2017_competitive</t>
  </si>
  <si>
    <t>09.05.2017_competitive</t>
  </si>
  <si>
    <t>12.05.2017_competitive</t>
  </si>
  <si>
    <t>22.05.2017_competitive</t>
  </si>
  <si>
    <t>26.05.2017_competitive</t>
  </si>
  <si>
    <t>JAKOV  ŠIMIĆ</t>
  </si>
  <si>
    <t>Akademski uspjeh (1-10)</t>
  </si>
  <si>
    <t>Angažiranost</t>
  </si>
  <si>
    <t>Socio-ekonomski status</t>
  </si>
  <si>
    <t>Radne navike</t>
  </si>
  <si>
    <t>Podrška obitelji</t>
  </si>
  <si>
    <t>AVG_COMP</t>
  </si>
  <si>
    <t>AVG_COLLAB</t>
  </si>
  <si>
    <t>AVG_AR</t>
  </si>
  <si>
    <t>AVG_TOTAL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</si>
</sst>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6" fillId="0" borderId="10" xfId="0" applyFont="1" applyBorder="1"/>
    <xf numFmtId="0" fontId="0" fillId="0" borderId="0" xfId="0" applyFill="1" applyBorder="1"/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00"/>
  <sheetViews>
    <sheetView tabSelected="1" topLeftCell="BI1" workbookViewId="0">
      <selection activeCell="BN14" sqref="BN14"/>
    </sheetView>
  </sheetViews>
  <sheetFormatPr defaultRowHeight="15" x14ac:dyDescent="0.25"/>
  <cols>
    <col min="1" max="1" width="29.42578125" customWidth="1"/>
    <col min="2" max="2" width="12" customWidth="1"/>
    <col min="3" max="3" width="19.85546875" customWidth="1"/>
    <col min="4" max="4" width="20.42578125" customWidth="1"/>
    <col min="5" max="5" width="19" customWidth="1"/>
    <col min="6" max="6" width="15" customWidth="1"/>
    <col min="7" max="7" width="22" customWidth="1"/>
    <col min="8" max="86" width="23.85546875" customWidth="1"/>
    <col min="87" max="87" width="11.28515625" bestFit="1" customWidth="1"/>
    <col min="88" max="88" width="12.5703125" bestFit="1" customWidth="1"/>
    <col min="89" max="89" width="8.28515625" bestFit="1" customWidth="1"/>
    <col min="90" max="90" width="13.140625" customWidth="1"/>
  </cols>
  <sheetData>
    <row r="1" spans="1:90" x14ac:dyDescent="0.25">
      <c r="A1" t="s">
        <v>0</v>
      </c>
      <c r="B1" t="s">
        <v>54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  <c r="AH1" t="s">
        <v>117</v>
      </c>
      <c r="AI1" t="s">
        <v>118</v>
      </c>
      <c r="AL1" t="s">
        <v>1</v>
      </c>
      <c r="AP1" t="s">
        <v>2</v>
      </c>
      <c r="AW1" t="s">
        <v>3</v>
      </c>
      <c r="AX1" t="s">
        <v>4</v>
      </c>
      <c r="AZ1" t="s">
        <v>119</v>
      </c>
      <c r="BB1" t="s">
        <v>120</v>
      </c>
      <c r="BD1" t="s">
        <v>121</v>
      </c>
      <c r="BF1" t="s">
        <v>5</v>
      </c>
      <c r="BH1" t="s">
        <v>122</v>
      </c>
      <c r="BK1" t="s">
        <v>6</v>
      </c>
      <c r="BL1" t="s">
        <v>7</v>
      </c>
      <c r="BN1" t="s">
        <v>8</v>
      </c>
      <c r="BP1" t="s">
        <v>123</v>
      </c>
      <c r="BS1" t="s">
        <v>9</v>
      </c>
      <c r="BT1" t="s">
        <v>124</v>
      </c>
      <c r="BV1" t="s">
        <v>10</v>
      </c>
      <c r="BW1" t="s">
        <v>11</v>
      </c>
      <c r="BX1" t="s">
        <v>12</v>
      </c>
      <c r="BY1" t="s">
        <v>125</v>
      </c>
      <c r="CA1" t="s">
        <v>13</v>
      </c>
      <c r="CB1" t="s">
        <v>126</v>
      </c>
      <c r="CD1" t="s">
        <v>127</v>
      </c>
      <c r="CF1" t="s">
        <v>14</v>
      </c>
      <c r="CG1" t="s">
        <v>128</v>
      </c>
      <c r="CI1" t="s">
        <v>135</v>
      </c>
      <c r="CJ1" t="s">
        <v>136</v>
      </c>
      <c r="CK1" t="s">
        <v>137</v>
      </c>
      <c r="CL1" t="s">
        <v>138</v>
      </c>
    </row>
    <row r="2" spans="1:90" x14ac:dyDescent="0.25">
      <c r="A2" t="s">
        <v>34</v>
      </c>
      <c r="B2" t="s">
        <v>55</v>
      </c>
      <c r="C2" s="1">
        <v>6</v>
      </c>
      <c r="D2" s="3">
        <v>2</v>
      </c>
      <c r="E2" s="3">
        <v>2</v>
      </c>
      <c r="F2" s="3">
        <v>2</v>
      </c>
      <c r="G2" s="3">
        <v>2</v>
      </c>
      <c r="AH2">
        <v>0.301369863013698</v>
      </c>
      <c r="AI2">
        <v>0.73099415204678297</v>
      </c>
      <c r="AL2">
        <v>0.34860254189645501</v>
      </c>
      <c r="AP2" t="s">
        <v>16</v>
      </c>
      <c r="AW2">
        <v>0</v>
      </c>
      <c r="AX2">
        <v>0</v>
      </c>
      <c r="AZ2" t="s">
        <v>16</v>
      </c>
      <c r="BB2" t="s">
        <v>16</v>
      </c>
      <c r="BD2">
        <v>0.51923076923076905</v>
      </c>
      <c r="BF2">
        <v>0.51698336769592301</v>
      </c>
      <c r="BH2" t="s">
        <v>16</v>
      </c>
      <c r="BK2" t="s">
        <v>16</v>
      </c>
      <c r="BL2" t="s">
        <v>16</v>
      </c>
      <c r="BN2">
        <v>0.93888864034800401</v>
      </c>
      <c r="BP2">
        <v>0.40322580645161199</v>
      </c>
      <c r="BS2">
        <v>1</v>
      </c>
      <c r="BT2" t="s">
        <v>16</v>
      </c>
      <c r="BV2" t="s">
        <v>16</v>
      </c>
      <c r="BW2">
        <v>0.96470186129079605</v>
      </c>
      <c r="BX2" t="s">
        <v>16</v>
      </c>
      <c r="BY2">
        <v>0.76923076923076905</v>
      </c>
      <c r="CA2" t="s">
        <v>16</v>
      </c>
      <c r="CB2" t="s">
        <v>16</v>
      </c>
      <c r="CD2" t="s">
        <v>16</v>
      </c>
      <c r="CF2">
        <v>0.97784779410546496</v>
      </c>
      <c r="CG2">
        <v>0.76923076923076905</v>
      </c>
      <c r="CI2">
        <f>IFERROR(AVERAGE(CG2,CD2,CC2,CB2,BZ2,BY2,BT2,BR2,BQ2,BP2,BO2,BM2,BJ2,BI2,BH2,BG2,BD2,BB2,BA2,AZ2,AY2,AU2,AR2,AQ2,AO2,AK2,AJ2,AI2,AH2,AG2,AF2,AC2,AA2,Z2,X2,V2,U2,T2,S2,R2,Q2,P2,O2,N2,M2,L2,K2,J2,I2,H2),0)</f>
        <v>0.58221368820073338</v>
      </c>
      <c r="CJ2">
        <f>IFERROR(AVERAGE(BS2,BF2,BE2,BC2,AX2,AW2,AV2,AT2,AS2,AP2,AN2,AM2,AL2,AE2,AD2,AB2,Y2,W2),)</f>
        <v>0.37311718191847565</v>
      </c>
      <c r="CK2">
        <f>IFERROR(AVERAGE(BK2,BL2,BN2,BU2,BV2,BW2,BX2,CA2,CE2,CF2),0)</f>
        <v>0.96047943191475504</v>
      </c>
    </row>
    <row r="3" spans="1:90" x14ac:dyDescent="0.25">
      <c r="A3" t="s">
        <v>15</v>
      </c>
      <c r="B3" t="s">
        <v>70</v>
      </c>
      <c r="C3" s="1"/>
      <c r="D3" s="3">
        <v>2</v>
      </c>
      <c r="E3" s="3">
        <v>2</v>
      </c>
      <c r="F3" s="3">
        <v>3</v>
      </c>
      <c r="G3" s="3">
        <v>1</v>
      </c>
      <c r="AH3">
        <v>0.952380952380952</v>
      </c>
      <c r="AI3" t="s">
        <v>16</v>
      </c>
      <c r="AL3" t="s">
        <v>16</v>
      </c>
      <c r="AP3" t="s">
        <v>16</v>
      </c>
      <c r="AW3" t="s">
        <v>16</v>
      </c>
      <c r="AX3">
        <v>0</v>
      </c>
      <c r="AZ3" t="s">
        <v>16</v>
      </c>
      <c r="BB3" t="s">
        <v>16</v>
      </c>
      <c r="BD3" t="s">
        <v>16</v>
      </c>
      <c r="BF3" t="s">
        <v>16</v>
      </c>
      <c r="BH3" t="s">
        <v>16</v>
      </c>
      <c r="BK3" t="s">
        <v>16</v>
      </c>
      <c r="BL3" t="s">
        <v>16</v>
      </c>
      <c r="BN3" t="s">
        <v>16</v>
      </c>
      <c r="BP3" t="s">
        <v>16</v>
      </c>
      <c r="BS3" t="s">
        <v>16</v>
      </c>
      <c r="BT3" t="s">
        <v>16</v>
      </c>
      <c r="BV3" t="s">
        <v>16</v>
      </c>
      <c r="BW3" t="s">
        <v>16</v>
      </c>
      <c r="BX3" t="s">
        <v>16</v>
      </c>
      <c r="BY3" t="s">
        <v>16</v>
      </c>
      <c r="CA3" t="s">
        <v>16</v>
      </c>
      <c r="CB3" t="s">
        <v>16</v>
      </c>
      <c r="CD3" t="s">
        <v>16</v>
      </c>
      <c r="CF3" t="s">
        <v>16</v>
      </c>
      <c r="CG3" t="s">
        <v>16</v>
      </c>
      <c r="CI3">
        <f>IFERROR(AVERAGE(CG3,CD3,CC3,CB3,BZ3,BY3,BT3,BR3,BQ3,BP3,BO3,BM3,BJ3,BI3,BH3,BG3,BD3,BB3,BA3,AZ3,AY3,AU3,AR3,AQ3,AO3,AK3,AJ3,AI3,AH3,AG3,AF3,AC3,AA3,Z3,X3,V3,U3,T3,S3,R3,Q3,P3,O3,N3,M3,L3,K3,J3,I3,H3),0)</f>
        <v>0.952380952380952</v>
      </c>
      <c r="CJ3">
        <f t="shared" ref="CJ3:CJ66" si="0">IFERROR(AVERAGE(BS3,BF3,BE3,BC3,AX3,AW3,AV3,AT3,AS3,AP3,AN3,AM3,AL3,AE3,AD3,AB3,Y3,W3),)</f>
        <v>0</v>
      </c>
      <c r="CK3">
        <f t="shared" ref="CK3:CK66" si="1">IFERROR(AVERAGE(BK3,BL3,BN3,BU3,BV3,BW3,BX3,CA3,CE3,CF3),0)</f>
        <v>0</v>
      </c>
    </row>
    <row r="4" spans="1:90" x14ac:dyDescent="0.25">
      <c r="A4" t="s">
        <v>85</v>
      </c>
      <c r="B4">
        <v>3</v>
      </c>
      <c r="C4" s="1"/>
      <c r="D4" s="3">
        <v>3</v>
      </c>
      <c r="E4" s="3">
        <v>3</v>
      </c>
      <c r="F4" s="3">
        <v>2</v>
      </c>
      <c r="G4" s="3">
        <v>3</v>
      </c>
      <c r="AH4" t="s">
        <v>16</v>
      </c>
      <c r="AI4" t="s">
        <v>16</v>
      </c>
      <c r="AL4" t="s">
        <v>16</v>
      </c>
      <c r="AP4" t="s">
        <v>16</v>
      </c>
      <c r="AW4" t="s">
        <v>16</v>
      </c>
      <c r="AX4" t="s">
        <v>16</v>
      </c>
      <c r="AZ4" t="s">
        <v>16</v>
      </c>
      <c r="BB4">
        <v>0.95270270270270196</v>
      </c>
      <c r="BD4" t="s">
        <v>16</v>
      </c>
      <c r="BF4" t="s">
        <v>16</v>
      </c>
      <c r="BH4" t="s">
        <v>16</v>
      </c>
      <c r="BK4" t="s">
        <v>16</v>
      </c>
      <c r="BL4" t="s">
        <v>16</v>
      </c>
      <c r="BN4">
        <v>0.97784297790880803</v>
      </c>
      <c r="BP4" t="s">
        <v>16</v>
      </c>
      <c r="BS4" t="s">
        <v>16</v>
      </c>
      <c r="BT4">
        <v>0.946938775510204</v>
      </c>
      <c r="BV4" t="s">
        <v>16</v>
      </c>
      <c r="BW4" t="s">
        <v>16</v>
      </c>
      <c r="BX4" t="s">
        <v>16</v>
      </c>
      <c r="BY4" t="s">
        <v>16</v>
      </c>
      <c r="CA4" t="s">
        <v>16</v>
      </c>
      <c r="CB4">
        <v>0.53310104529616698</v>
      </c>
      <c r="CD4">
        <v>0.875358166189111</v>
      </c>
      <c r="CF4" t="s">
        <v>16</v>
      </c>
      <c r="CG4" t="s">
        <v>16</v>
      </c>
      <c r="CI4">
        <f t="shared" ref="CI4:CI67" si="2">IFERROR(AVERAGE(CG4,CD4,CC4,CB4,BZ4,BY4,BT4,BR4,BQ4,BP4,BO4,BM4,BJ4,BI4,BH4,BG4,BD4,BB4,BA4,AZ4,AY4,AU4,AR4,AQ4,AO4,AK4,AJ4,AI4,AH4,AG4,AF4,AC4,AA4,Z4,X4,V4,U4,T4,S4,R4,Q4,P4,O4,N4,M4,L4,K4,J4,I4,H4),0)</f>
        <v>0.82702517242454587</v>
      </c>
      <c r="CJ4">
        <f t="shared" si="0"/>
        <v>0</v>
      </c>
      <c r="CK4">
        <f t="shared" si="1"/>
        <v>0.97784297790880803</v>
      </c>
    </row>
    <row r="5" spans="1:90" x14ac:dyDescent="0.25">
      <c r="A5" t="s">
        <v>88</v>
      </c>
      <c r="B5">
        <v>3</v>
      </c>
      <c r="C5" s="1"/>
      <c r="D5" s="3">
        <v>2</v>
      </c>
      <c r="E5" s="3">
        <v>3</v>
      </c>
      <c r="F5" s="3">
        <v>2</v>
      </c>
      <c r="G5" s="3">
        <v>2</v>
      </c>
      <c r="AH5" t="s">
        <v>16</v>
      </c>
      <c r="AI5" t="s">
        <v>16</v>
      </c>
      <c r="AL5" t="s">
        <v>16</v>
      </c>
      <c r="AP5" t="s">
        <v>16</v>
      </c>
      <c r="AW5" t="s">
        <v>16</v>
      </c>
      <c r="AX5" t="s">
        <v>16</v>
      </c>
      <c r="AZ5">
        <v>0.89</v>
      </c>
      <c r="BB5">
        <v>0.96969696969696895</v>
      </c>
      <c r="BD5" t="s">
        <v>16</v>
      </c>
      <c r="BF5" t="s">
        <v>16</v>
      </c>
      <c r="BH5">
        <v>0.82666666666666599</v>
      </c>
      <c r="BK5" t="s">
        <v>16</v>
      </c>
      <c r="BL5" t="s">
        <v>16</v>
      </c>
      <c r="BN5">
        <v>0.95653855455762604</v>
      </c>
      <c r="BP5" t="s">
        <v>16</v>
      </c>
      <c r="BS5" t="s">
        <v>16</v>
      </c>
      <c r="BT5">
        <v>0.97560975609756095</v>
      </c>
      <c r="BV5" t="s">
        <v>16</v>
      </c>
      <c r="BW5" t="s">
        <v>16</v>
      </c>
      <c r="BX5" t="s">
        <v>16</v>
      </c>
      <c r="BY5" t="s">
        <v>16</v>
      </c>
      <c r="CA5" t="s">
        <v>16</v>
      </c>
      <c r="CB5">
        <v>0.44827586206896503</v>
      </c>
      <c r="CD5" t="s">
        <v>16</v>
      </c>
      <c r="CF5" t="s">
        <v>16</v>
      </c>
      <c r="CG5" t="s">
        <v>16</v>
      </c>
      <c r="CI5">
        <f t="shared" si="2"/>
        <v>0.82204985090603222</v>
      </c>
      <c r="CJ5">
        <f t="shared" si="0"/>
        <v>0</v>
      </c>
      <c r="CK5">
        <f t="shared" si="1"/>
        <v>0.95653855455762604</v>
      </c>
    </row>
    <row r="6" spans="1:90" x14ac:dyDescent="0.25">
      <c r="A6" t="s">
        <v>74</v>
      </c>
      <c r="B6" t="s">
        <v>70</v>
      </c>
      <c r="C6" s="1">
        <v>5</v>
      </c>
      <c r="D6" s="3">
        <v>1</v>
      </c>
      <c r="E6" s="3">
        <v>2</v>
      </c>
      <c r="F6" s="3">
        <v>2</v>
      </c>
      <c r="G6" s="3">
        <v>3</v>
      </c>
      <c r="AH6">
        <v>0.95979899497487398</v>
      </c>
      <c r="AI6">
        <v>0.93061224489795902</v>
      </c>
      <c r="AL6">
        <v>0.72795076343986598</v>
      </c>
      <c r="AP6" t="s">
        <v>16</v>
      </c>
      <c r="AW6">
        <v>0</v>
      </c>
      <c r="AX6">
        <v>1</v>
      </c>
      <c r="AZ6" t="s">
        <v>16</v>
      </c>
      <c r="BB6" t="s">
        <v>16</v>
      </c>
      <c r="BD6">
        <v>0.72108843537414902</v>
      </c>
      <c r="BF6">
        <v>0.37580216105908898</v>
      </c>
      <c r="BH6" t="s">
        <v>16</v>
      </c>
      <c r="BK6" t="s">
        <v>16</v>
      </c>
      <c r="BL6">
        <v>0.94062182829708896</v>
      </c>
      <c r="BN6">
        <v>0.68383249999999995</v>
      </c>
      <c r="BP6">
        <v>0.78727478911146698</v>
      </c>
      <c r="BS6" t="s">
        <v>16</v>
      </c>
      <c r="BT6" t="s">
        <v>16</v>
      </c>
      <c r="BV6" t="s">
        <v>16</v>
      </c>
      <c r="BW6" t="s">
        <v>16</v>
      </c>
      <c r="BX6">
        <v>0.76574374999999995</v>
      </c>
      <c r="BY6" t="s">
        <v>16</v>
      </c>
      <c r="CA6">
        <v>0.96952151529035002</v>
      </c>
      <c r="CB6" t="s">
        <v>16</v>
      </c>
      <c r="CD6" t="s">
        <v>16</v>
      </c>
      <c r="CF6" t="s">
        <v>16</v>
      </c>
      <c r="CG6">
        <v>0.66666666666666596</v>
      </c>
      <c r="CI6">
        <f t="shared" si="2"/>
        <v>0.81308822620502297</v>
      </c>
      <c r="CJ6">
        <f t="shared" si="0"/>
        <v>0.5259382311247387</v>
      </c>
      <c r="CK6">
        <f t="shared" si="1"/>
        <v>0.83992989839685972</v>
      </c>
    </row>
    <row r="7" spans="1:90" x14ac:dyDescent="0.25">
      <c r="A7" t="s">
        <v>61</v>
      </c>
      <c r="B7">
        <v>4</v>
      </c>
      <c r="C7" s="1"/>
      <c r="D7" s="3"/>
      <c r="E7" s="3"/>
      <c r="F7" s="3"/>
      <c r="G7" s="3"/>
      <c r="AH7" t="s">
        <v>16</v>
      </c>
      <c r="AI7" t="s">
        <v>16</v>
      </c>
      <c r="AL7" t="s">
        <v>16</v>
      </c>
      <c r="AP7" t="s">
        <v>16</v>
      </c>
      <c r="AW7" t="s">
        <v>16</v>
      </c>
      <c r="AX7" t="s">
        <v>16</v>
      </c>
      <c r="AZ7" t="s">
        <v>16</v>
      </c>
      <c r="BB7" t="s">
        <v>16</v>
      </c>
      <c r="BD7" t="s">
        <v>16</v>
      </c>
      <c r="BF7" t="s">
        <v>16</v>
      </c>
      <c r="BH7" t="s">
        <v>16</v>
      </c>
      <c r="BK7" t="s">
        <v>16</v>
      </c>
      <c r="BL7" t="s">
        <v>16</v>
      </c>
      <c r="BN7" t="s">
        <v>16</v>
      </c>
      <c r="BP7" t="s">
        <v>16</v>
      </c>
      <c r="BS7" t="s">
        <v>16</v>
      </c>
      <c r="BT7" t="s">
        <v>16</v>
      </c>
      <c r="BV7" t="s">
        <v>16</v>
      </c>
      <c r="BW7" t="s">
        <v>16</v>
      </c>
      <c r="BX7" t="s">
        <v>16</v>
      </c>
      <c r="BY7" t="s">
        <v>16</v>
      </c>
      <c r="CA7" t="s">
        <v>16</v>
      </c>
      <c r="CB7" t="s">
        <v>16</v>
      </c>
      <c r="CD7" t="s">
        <v>16</v>
      </c>
      <c r="CF7" t="s">
        <v>16</v>
      </c>
      <c r="CG7" t="s">
        <v>16</v>
      </c>
      <c r="CI7">
        <f t="shared" si="2"/>
        <v>0</v>
      </c>
      <c r="CJ7">
        <f t="shared" si="0"/>
        <v>0</v>
      </c>
      <c r="CK7">
        <f t="shared" si="1"/>
        <v>0</v>
      </c>
    </row>
    <row r="8" spans="1:90" x14ac:dyDescent="0.25">
      <c r="A8" t="s">
        <v>17</v>
      </c>
      <c r="B8" t="s">
        <v>70</v>
      </c>
      <c r="C8" s="1">
        <v>7</v>
      </c>
      <c r="D8" s="3">
        <v>2</v>
      </c>
      <c r="E8" s="3">
        <v>2</v>
      </c>
      <c r="F8" s="3">
        <v>2</v>
      </c>
      <c r="G8" s="3">
        <v>3</v>
      </c>
      <c r="AH8">
        <v>0.95530726256983201</v>
      </c>
      <c r="AI8">
        <v>0.95854922279792698</v>
      </c>
      <c r="AL8">
        <v>0.74641080802937698</v>
      </c>
      <c r="AP8" t="s">
        <v>16</v>
      </c>
      <c r="AW8">
        <v>0</v>
      </c>
      <c r="AX8" t="s">
        <v>16</v>
      </c>
      <c r="AZ8" t="s">
        <v>16</v>
      </c>
      <c r="BB8" t="s">
        <v>16</v>
      </c>
      <c r="BD8">
        <v>0.73737373737373701</v>
      </c>
      <c r="BF8">
        <v>0.471440634203106</v>
      </c>
      <c r="BH8" t="s">
        <v>16</v>
      </c>
      <c r="BK8" t="s">
        <v>16</v>
      </c>
      <c r="BL8">
        <v>0.88129688805918305</v>
      </c>
      <c r="BN8">
        <v>0</v>
      </c>
      <c r="BP8">
        <v>0.89516129032257996</v>
      </c>
      <c r="BS8">
        <v>1</v>
      </c>
      <c r="BT8" t="s">
        <v>16</v>
      </c>
      <c r="BV8" t="s">
        <v>16</v>
      </c>
      <c r="BW8" t="s">
        <v>16</v>
      </c>
      <c r="BX8">
        <v>0.77842708333333299</v>
      </c>
      <c r="BY8" t="s">
        <v>16</v>
      </c>
      <c r="CA8">
        <v>0.92808660901620099</v>
      </c>
      <c r="CB8" t="s">
        <v>16</v>
      </c>
      <c r="CD8" t="s">
        <v>16</v>
      </c>
      <c r="CF8" t="s">
        <v>16</v>
      </c>
      <c r="CG8">
        <v>0.79545454545454497</v>
      </c>
      <c r="CI8">
        <f t="shared" si="2"/>
        <v>0.86836921170372428</v>
      </c>
      <c r="CJ8">
        <f t="shared" si="0"/>
        <v>0.55446286055812077</v>
      </c>
      <c r="CK8">
        <f t="shared" si="1"/>
        <v>0.6469526451021792</v>
      </c>
    </row>
    <row r="9" spans="1:90" x14ac:dyDescent="0.25">
      <c r="A9" t="s">
        <v>21</v>
      </c>
      <c r="B9">
        <v>4</v>
      </c>
      <c r="C9" s="1"/>
      <c r="D9" s="3"/>
      <c r="E9" s="3"/>
      <c r="F9" s="3"/>
      <c r="G9" s="3"/>
      <c r="AH9" t="s">
        <v>16</v>
      </c>
      <c r="AI9" t="s">
        <v>16</v>
      </c>
      <c r="AL9" t="s">
        <v>16</v>
      </c>
      <c r="AP9" t="s">
        <v>16</v>
      </c>
      <c r="AW9" t="s">
        <v>16</v>
      </c>
      <c r="AX9" t="s">
        <v>16</v>
      </c>
      <c r="AZ9" t="s">
        <v>16</v>
      </c>
      <c r="BB9" t="s">
        <v>16</v>
      </c>
      <c r="BD9" t="s">
        <v>16</v>
      </c>
      <c r="BF9" t="s">
        <v>16</v>
      </c>
      <c r="BH9" t="s">
        <v>16</v>
      </c>
      <c r="BK9" t="s">
        <v>16</v>
      </c>
      <c r="BL9" t="s">
        <v>16</v>
      </c>
      <c r="BN9" t="s">
        <v>16</v>
      </c>
      <c r="BP9" t="s">
        <v>16</v>
      </c>
      <c r="BS9" t="s">
        <v>16</v>
      </c>
      <c r="BT9" t="s">
        <v>16</v>
      </c>
      <c r="BV9" t="s">
        <v>16</v>
      </c>
      <c r="BW9" t="s">
        <v>16</v>
      </c>
      <c r="BX9" t="s">
        <v>16</v>
      </c>
      <c r="BY9" t="s">
        <v>16</v>
      </c>
      <c r="CA9" t="s">
        <v>16</v>
      </c>
      <c r="CB9" t="s">
        <v>16</v>
      </c>
      <c r="CD9" t="s">
        <v>16</v>
      </c>
      <c r="CF9" t="s">
        <v>16</v>
      </c>
      <c r="CG9" t="s">
        <v>16</v>
      </c>
      <c r="CI9">
        <f t="shared" si="2"/>
        <v>0</v>
      </c>
      <c r="CJ9">
        <f t="shared" si="0"/>
        <v>0</v>
      </c>
      <c r="CK9">
        <f t="shared" si="1"/>
        <v>0</v>
      </c>
    </row>
    <row r="10" spans="1:90" x14ac:dyDescent="0.25">
      <c r="A10" t="s">
        <v>59</v>
      </c>
      <c r="B10" t="s">
        <v>55</v>
      </c>
      <c r="C10" s="1">
        <v>10</v>
      </c>
      <c r="D10" s="3">
        <v>3</v>
      </c>
      <c r="E10" s="3">
        <v>3</v>
      </c>
      <c r="F10" s="3">
        <v>3</v>
      </c>
      <c r="G10" s="3">
        <v>3</v>
      </c>
      <c r="AH10">
        <v>0.96370967741935398</v>
      </c>
      <c r="AI10">
        <v>0.95469255663430397</v>
      </c>
      <c r="AL10">
        <v>0.84255961320416295</v>
      </c>
      <c r="AP10" t="s">
        <v>16</v>
      </c>
      <c r="AW10" t="s">
        <v>16</v>
      </c>
      <c r="AX10" t="s">
        <v>16</v>
      </c>
      <c r="AZ10" t="s">
        <v>16</v>
      </c>
      <c r="BB10" t="s">
        <v>16</v>
      </c>
      <c r="BD10">
        <v>0.86956521739130399</v>
      </c>
      <c r="BF10">
        <v>0.43327228056436001</v>
      </c>
      <c r="BH10" t="s">
        <v>16</v>
      </c>
      <c r="BK10" t="s">
        <v>16</v>
      </c>
      <c r="BL10" t="s">
        <v>16</v>
      </c>
      <c r="BN10">
        <v>0.80496652546854497</v>
      </c>
      <c r="BP10">
        <v>0.96376811594202805</v>
      </c>
      <c r="BS10">
        <v>0.118002654440472</v>
      </c>
      <c r="BT10" t="s">
        <v>16</v>
      </c>
      <c r="BV10" t="s">
        <v>16</v>
      </c>
      <c r="BW10">
        <v>0.94771644430778801</v>
      </c>
      <c r="BX10" t="s">
        <v>16</v>
      </c>
      <c r="BY10">
        <v>0.97826086956521696</v>
      </c>
      <c r="CA10" t="s">
        <v>16</v>
      </c>
      <c r="CB10" t="s">
        <v>16</v>
      </c>
      <c r="CD10" t="s">
        <v>16</v>
      </c>
      <c r="CF10">
        <v>0.99320114317336305</v>
      </c>
      <c r="CG10" t="s">
        <v>16</v>
      </c>
      <c r="CI10">
        <f t="shared" si="2"/>
        <v>0.94599928739044137</v>
      </c>
      <c r="CJ10">
        <f t="shared" si="0"/>
        <v>0.46461151606966505</v>
      </c>
      <c r="CK10">
        <f t="shared" si="1"/>
        <v>0.91529470431656534</v>
      </c>
    </row>
    <row r="11" spans="1:90" x14ac:dyDescent="0.25">
      <c r="A11" t="s">
        <v>28</v>
      </c>
      <c r="B11">
        <v>1</v>
      </c>
      <c r="C11" s="1">
        <v>9</v>
      </c>
      <c r="D11" s="3">
        <v>3</v>
      </c>
      <c r="E11" s="3">
        <v>3</v>
      </c>
      <c r="F11" s="3">
        <v>1</v>
      </c>
      <c r="G11" s="3">
        <v>3</v>
      </c>
      <c r="AH11" t="s">
        <v>16</v>
      </c>
      <c r="AI11" t="s">
        <v>16</v>
      </c>
      <c r="AL11" t="s">
        <v>16</v>
      </c>
      <c r="AP11">
        <v>0.54630261776852895</v>
      </c>
      <c r="AW11" t="s">
        <v>16</v>
      </c>
      <c r="AX11" t="s">
        <v>16</v>
      </c>
      <c r="AZ11" t="s">
        <v>16</v>
      </c>
      <c r="BB11" t="s">
        <v>16</v>
      </c>
      <c r="BD11" t="s">
        <v>16</v>
      </c>
      <c r="BF11">
        <v>0.60130470897529098</v>
      </c>
      <c r="BH11" t="s">
        <v>16</v>
      </c>
      <c r="BK11" t="s">
        <v>16</v>
      </c>
      <c r="BL11" t="s">
        <v>16</v>
      </c>
      <c r="BN11" t="s">
        <v>16</v>
      </c>
      <c r="BP11" t="s">
        <v>16</v>
      </c>
      <c r="BS11">
        <v>1</v>
      </c>
      <c r="BT11" t="s">
        <v>16</v>
      </c>
      <c r="BV11">
        <v>0.72763468583615298</v>
      </c>
      <c r="BW11">
        <v>0.73229166666666601</v>
      </c>
      <c r="BX11" t="s">
        <v>16</v>
      </c>
      <c r="BY11" t="s">
        <v>16</v>
      </c>
      <c r="CA11" t="s">
        <v>16</v>
      </c>
      <c r="CB11" t="s">
        <v>16</v>
      </c>
      <c r="CD11" t="s">
        <v>16</v>
      </c>
      <c r="CF11" t="s">
        <v>16</v>
      </c>
      <c r="CG11" t="s">
        <v>16</v>
      </c>
      <c r="CI11">
        <f t="shared" si="2"/>
        <v>0</v>
      </c>
      <c r="CJ11">
        <f t="shared" si="0"/>
        <v>0.71586910891460664</v>
      </c>
      <c r="CK11">
        <f t="shared" si="1"/>
        <v>0.7299631762514095</v>
      </c>
    </row>
    <row r="12" spans="1:90" x14ac:dyDescent="0.25">
      <c r="A12" t="s">
        <v>56</v>
      </c>
      <c r="B12" t="s">
        <v>55</v>
      </c>
      <c r="C12" s="1">
        <v>7</v>
      </c>
      <c r="D12" s="3">
        <v>2</v>
      </c>
      <c r="E12" s="3">
        <v>2</v>
      </c>
      <c r="F12" s="3">
        <v>2</v>
      </c>
      <c r="G12" s="3">
        <v>1</v>
      </c>
      <c r="AH12">
        <v>0.96276595744680804</v>
      </c>
      <c r="AI12">
        <v>0.97</v>
      </c>
      <c r="AL12" t="s">
        <v>16</v>
      </c>
      <c r="AP12" t="s">
        <v>16</v>
      </c>
      <c r="AW12" t="s">
        <v>16</v>
      </c>
      <c r="AX12">
        <v>0.102879424546663</v>
      </c>
      <c r="AZ12" t="s">
        <v>16</v>
      </c>
      <c r="BB12" t="s">
        <v>16</v>
      </c>
      <c r="BD12">
        <v>0.82442748091603002</v>
      </c>
      <c r="BF12">
        <v>1</v>
      </c>
      <c r="BH12" t="s">
        <v>16</v>
      </c>
      <c r="BK12" t="s">
        <v>16</v>
      </c>
      <c r="BL12" t="s">
        <v>16</v>
      </c>
      <c r="BN12">
        <v>0.93429927286043202</v>
      </c>
      <c r="BP12">
        <v>0.91472868217054204</v>
      </c>
      <c r="BS12">
        <v>1</v>
      </c>
      <c r="BT12" t="s">
        <v>16</v>
      </c>
      <c r="BV12" t="s">
        <v>16</v>
      </c>
      <c r="BW12">
        <v>0.98373809459537098</v>
      </c>
      <c r="BX12" t="s">
        <v>16</v>
      </c>
      <c r="BY12">
        <v>0.27777777777777701</v>
      </c>
      <c r="CA12" t="s">
        <v>16</v>
      </c>
      <c r="CB12" t="s">
        <v>16</v>
      </c>
      <c r="CD12" t="s">
        <v>16</v>
      </c>
      <c r="CF12">
        <v>0.98550037884366803</v>
      </c>
      <c r="CG12" t="s">
        <v>16</v>
      </c>
      <c r="CI12">
        <f t="shared" si="2"/>
        <v>0.7899399796622314</v>
      </c>
      <c r="CJ12">
        <f t="shared" si="0"/>
        <v>0.70095980818222092</v>
      </c>
      <c r="CK12">
        <f t="shared" si="1"/>
        <v>0.96784591543315701</v>
      </c>
    </row>
    <row r="13" spans="1:90" x14ac:dyDescent="0.25">
      <c r="A13" t="s">
        <v>64</v>
      </c>
      <c r="B13" t="s">
        <v>55</v>
      </c>
      <c r="C13" s="1">
        <v>6</v>
      </c>
      <c r="D13" s="3">
        <v>2</v>
      </c>
      <c r="E13" s="3">
        <v>2</v>
      </c>
      <c r="F13" s="3">
        <v>2</v>
      </c>
      <c r="G13" s="3">
        <v>1</v>
      </c>
      <c r="AH13">
        <v>0.69444444444444398</v>
      </c>
      <c r="AI13">
        <v>0.83593479161731898</v>
      </c>
      <c r="AL13">
        <v>0.85479407777098604</v>
      </c>
      <c r="AP13" t="s">
        <v>16</v>
      </c>
      <c r="AW13">
        <v>0</v>
      </c>
      <c r="AX13">
        <v>0</v>
      </c>
      <c r="AZ13" t="s">
        <v>16</v>
      </c>
      <c r="BB13" t="s">
        <v>16</v>
      </c>
      <c r="BD13">
        <v>0.85314685314685301</v>
      </c>
      <c r="BF13">
        <v>0.64242448501431904</v>
      </c>
      <c r="BH13" t="s">
        <v>16</v>
      </c>
      <c r="BK13" t="s">
        <v>16</v>
      </c>
      <c r="BL13" t="s">
        <v>16</v>
      </c>
      <c r="BN13">
        <v>0.92333618894359104</v>
      </c>
      <c r="BP13">
        <v>0.91489361702127603</v>
      </c>
      <c r="BS13">
        <v>1</v>
      </c>
      <c r="BT13" t="s">
        <v>16</v>
      </c>
      <c r="BV13" t="s">
        <v>16</v>
      </c>
      <c r="BW13">
        <v>0.99626166990302201</v>
      </c>
      <c r="BX13" t="s">
        <v>16</v>
      </c>
      <c r="BY13">
        <v>0.8</v>
      </c>
      <c r="CA13" t="s">
        <v>16</v>
      </c>
      <c r="CB13" t="s">
        <v>16</v>
      </c>
      <c r="CD13" t="s">
        <v>16</v>
      </c>
      <c r="CF13">
        <v>0.92634001290589496</v>
      </c>
      <c r="CG13">
        <v>1</v>
      </c>
      <c r="CI13">
        <f t="shared" si="2"/>
        <v>0.84973661770498188</v>
      </c>
      <c r="CJ13">
        <f t="shared" si="0"/>
        <v>0.49944371255706105</v>
      </c>
      <c r="CK13">
        <f t="shared" si="1"/>
        <v>0.94864595725083589</v>
      </c>
    </row>
    <row r="14" spans="1:90" x14ac:dyDescent="0.25">
      <c r="A14" t="s">
        <v>73</v>
      </c>
      <c r="B14" t="s">
        <v>70</v>
      </c>
      <c r="C14" s="1">
        <v>10</v>
      </c>
      <c r="D14" s="3">
        <v>3</v>
      </c>
      <c r="E14" s="3">
        <v>2</v>
      </c>
      <c r="F14" s="3">
        <v>2</v>
      </c>
      <c r="G14" s="3">
        <v>3</v>
      </c>
      <c r="AH14">
        <v>0.94222222222222196</v>
      </c>
      <c r="AI14">
        <v>0.96666666666666601</v>
      </c>
      <c r="AL14" t="s">
        <v>16</v>
      </c>
      <c r="AP14" t="s">
        <v>16</v>
      </c>
      <c r="AW14">
        <v>0</v>
      </c>
      <c r="AX14">
        <v>3.2365033508951299E-2</v>
      </c>
      <c r="AZ14" t="s">
        <v>16</v>
      </c>
      <c r="BB14" t="s">
        <v>16</v>
      </c>
      <c r="BD14">
        <v>0.91666666666666596</v>
      </c>
      <c r="BF14">
        <v>0.65193948903601495</v>
      </c>
      <c r="BH14" t="s">
        <v>16</v>
      </c>
      <c r="BK14" t="s">
        <v>16</v>
      </c>
      <c r="BL14">
        <v>0.915847056363153</v>
      </c>
      <c r="BN14">
        <v>0.54035378787878696</v>
      </c>
      <c r="BP14">
        <v>0.89527596777107799</v>
      </c>
      <c r="BS14" t="s">
        <v>16</v>
      </c>
      <c r="BT14" t="s">
        <v>16</v>
      </c>
      <c r="BV14" t="s">
        <v>16</v>
      </c>
      <c r="BW14" t="s">
        <v>16</v>
      </c>
      <c r="BX14">
        <v>0.75697797619047602</v>
      </c>
      <c r="BY14" t="s">
        <v>16</v>
      </c>
      <c r="CA14">
        <v>0.99705703304754301</v>
      </c>
      <c r="CB14" t="s">
        <v>16</v>
      </c>
      <c r="CD14" t="s">
        <v>16</v>
      </c>
      <c r="CF14" t="s">
        <v>16</v>
      </c>
      <c r="CG14">
        <v>0.92307692307692302</v>
      </c>
      <c r="CI14">
        <f t="shared" si="2"/>
        <v>0.92878168928071092</v>
      </c>
      <c r="CJ14">
        <f t="shared" si="0"/>
        <v>0.22810150751498873</v>
      </c>
      <c r="CK14">
        <f t="shared" si="1"/>
        <v>0.80255896336998966</v>
      </c>
    </row>
    <row r="15" spans="1:90" x14ac:dyDescent="0.25">
      <c r="A15" t="s">
        <v>82</v>
      </c>
      <c r="B15">
        <v>3</v>
      </c>
      <c r="C15" s="1"/>
      <c r="D15" s="3">
        <v>3</v>
      </c>
      <c r="E15" s="3">
        <v>2</v>
      </c>
      <c r="F15" s="3">
        <v>3</v>
      </c>
      <c r="G15" s="3">
        <v>3</v>
      </c>
      <c r="AH15" t="s">
        <v>16</v>
      </c>
      <c r="AI15" t="s">
        <v>16</v>
      </c>
      <c r="AL15" t="s">
        <v>16</v>
      </c>
      <c r="AP15" t="s">
        <v>16</v>
      </c>
      <c r="AW15" t="s">
        <v>16</v>
      </c>
      <c r="AX15" t="s">
        <v>16</v>
      </c>
      <c r="AZ15">
        <v>0.89075630252100801</v>
      </c>
      <c r="BB15">
        <v>0.95283018867924496</v>
      </c>
      <c r="BD15" t="s">
        <v>16</v>
      </c>
      <c r="BF15" t="s">
        <v>16</v>
      </c>
      <c r="BH15">
        <v>0.80208333333333304</v>
      </c>
      <c r="BK15" t="s">
        <v>16</v>
      </c>
      <c r="BL15" t="s">
        <v>16</v>
      </c>
      <c r="BN15">
        <v>0.95651896947772597</v>
      </c>
      <c r="BP15" t="s">
        <v>16</v>
      </c>
      <c r="BS15" t="s">
        <v>16</v>
      </c>
      <c r="BT15">
        <v>0.85245901639344202</v>
      </c>
      <c r="BV15" t="s">
        <v>16</v>
      </c>
      <c r="BW15">
        <v>0.96978952031334897</v>
      </c>
      <c r="BX15" t="s">
        <v>16</v>
      </c>
      <c r="BY15" t="s">
        <v>16</v>
      </c>
      <c r="CA15">
        <v>0.84611569951794496</v>
      </c>
      <c r="CB15">
        <v>0.85365853658536495</v>
      </c>
      <c r="CD15">
        <v>0.75</v>
      </c>
      <c r="CF15" t="s">
        <v>16</v>
      </c>
      <c r="CG15" t="s">
        <v>16</v>
      </c>
      <c r="CI15">
        <f t="shared" si="2"/>
        <v>0.85029789625206542</v>
      </c>
      <c r="CJ15">
        <f t="shared" si="0"/>
        <v>0</v>
      </c>
      <c r="CK15">
        <f t="shared" si="1"/>
        <v>0.92414139643633997</v>
      </c>
    </row>
    <row r="16" spans="1:90" x14ac:dyDescent="0.25">
      <c r="A16" t="s">
        <v>100</v>
      </c>
      <c r="B16">
        <v>1</v>
      </c>
      <c r="C16" s="1">
        <v>10</v>
      </c>
      <c r="D16" s="3">
        <v>3</v>
      </c>
      <c r="E16" s="3">
        <v>1</v>
      </c>
      <c r="F16" s="3">
        <v>2</v>
      </c>
      <c r="G16" s="3">
        <v>3</v>
      </c>
      <c r="AH16" t="s">
        <v>16</v>
      </c>
      <c r="AI16" t="s">
        <v>16</v>
      </c>
      <c r="AL16" t="s">
        <v>16</v>
      </c>
      <c r="AP16">
        <v>0.79507850490101295</v>
      </c>
      <c r="AW16" t="s">
        <v>16</v>
      </c>
      <c r="AX16" t="s">
        <v>16</v>
      </c>
      <c r="AZ16" t="s">
        <v>16</v>
      </c>
      <c r="BB16" t="s">
        <v>16</v>
      </c>
      <c r="BD16" t="s">
        <v>16</v>
      </c>
      <c r="BF16">
        <v>0.57226618476528901</v>
      </c>
      <c r="BH16" t="s">
        <v>16</v>
      </c>
      <c r="BK16" t="s">
        <v>16</v>
      </c>
      <c r="BL16" t="s">
        <v>16</v>
      </c>
      <c r="BN16" t="s">
        <v>16</v>
      </c>
      <c r="BP16" t="s">
        <v>16</v>
      </c>
      <c r="BS16">
        <v>1</v>
      </c>
      <c r="BT16" t="s">
        <v>16</v>
      </c>
      <c r="BV16">
        <v>0.93684685963286596</v>
      </c>
      <c r="BW16">
        <v>0.93872</v>
      </c>
      <c r="BX16" t="s">
        <v>16</v>
      </c>
      <c r="BY16" t="s">
        <v>16</v>
      </c>
      <c r="CA16" t="s">
        <v>16</v>
      </c>
      <c r="CB16" t="s">
        <v>16</v>
      </c>
      <c r="CD16" t="s">
        <v>16</v>
      </c>
      <c r="CF16" t="s">
        <v>16</v>
      </c>
      <c r="CG16" t="s">
        <v>16</v>
      </c>
      <c r="CI16">
        <f t="shared" si="2"/>
        <v>0</v>
      </c>
      <c r="CJ16">
        <f t="shared" si="0"/>
        <v>0.78911489655543399</v>
      </c>
      <c r="CK16">
        <f t="shared" si="1"/>
        <v>0.93778342981643292</v>
      </c>
    </row>
    <row r="17" spans="1:89" x14ac:dyDescent="0.25">
      <c r="A17" t="s">
        <v>114</v>
      </c>
      <c r="B17">
        <v>4</v>
      </c>
      <c r="C17" s="1"/>
      <c r="D17" s="3"/>
      <c r="E17" s="3"/>
      <c r="F17" s="3"/>
      <c r="G17" s="3"/>
      <c r="AH17" t="s">
        <v>16</v>
      </c>
      <c r="AI17" t="s">
        <v>16</v>
      </c>
      <c r="AL17" t="s">
        <v>16</v>
      </c>
      <c r="AP17" t="s">
        <v>16</v>
      </c>
      <c r="AW17" t="s">
        <v>16</v>
      </c>
      <c r="AX17" t="s">
        <v>16</v>
      </c>
      <c r="AZ17" t="s">
        <v>16</v>
      </c>
      <c r="BB17" t="s">
        <v>16</v>
      </c>
      <c r="BD17" t="s">
        <v>16</v>
      </c>
      <c r="BF17" t="s">
        <v>16</v>
      </c>
      <c r="BH17" t="s">
        <v>16</v>
      </c>
      <c r="BK17" t="s">
        <v>16</v>
      </c>
      <c r="BL17" t="s">
        <v>16</v>
      </c>
      <c r="BN17" t="s">
        <v>16</v>
      </c>
      <c r="BP17" t="s">
        <v>16</v>
      </c>
      <c r="BS17" t="s">
        <v>16</v>
      </c>
      <c r="BT17" t="s">
        <v>16</v>
      </c>
      <c r="BV17" t="s">
        <v>16</v>
      </c>
      <c r="BW17" t="s">
        <v>16</v>
      </c>
      <c r="BX17" t="s">
        <v>16</v>
      </c>
      <c r="BY17" t="s">
        <v>16</v>
      </c>
      <c r="CA17" t="s">
        <v>16</v>
      </c>
      <c r="CB17" t="s">
        <v>16</v>
      </c>
      <c r="CD17" t="s">
        <v>16</v>
      </c>
      <c r="CF17" t="s">
        <v>16</v>
      </c>
      <c r="CG17" t="s">
        <v>16</v>
      </c>
      <c r="CI17">
        <f t="shared" si="2"/>
        <v>0</v>
      </c>
      <c r="CJ17">
        <f t="shared" si="0"/>
        <v>0</v>
      </c>
      <c r="CK17">
        <f t="shared" si="1"/>
        <v>0</v>
      </c>
    </row>
    <row r="18" spans="1:89" x14ac:dyDescent="0.25">
      <c r="A18" t="s">
        <v>20</v>
      </c>
      <c r="B18">
        <v>3</v>
      </c>
      <c r="C18" s="1"/>
      <c r="D18" s="3"/>
      <c r="E18" s="3"/>
      <c r="F18" s="3"/>
      <c r="G18" s="3"/>
      <c r="AH18" t="s">
        <v>16</v>
      </c>
      <c r="AI18" t="s">
        <v>16</v>
      </c>
      <c r="AL18" t="s">
        <v>16</v>
      </c>
      <c r="AP18" t="s">
        <v>16</v>
      </c>
      <c r="AW18" t="s">
        <v>16</v>
      </c>
      <c r="AX18" t="s">
        <v>16</v>
      </c>
      <c r="AZ18">
        <v>0.63414634146341398</v>
      </c>
      <c r="BB18">
        <v>0.51515151515151503</v>
      </c>
      <c r="BD18" t="s">
        <v>16</v>
      </c>
      <c r="BF18" t="s">
        <v>16</v>
      </c>
      <c r="BH18">
        <v>0.80357142857142805</v>
      </c>
      <c r="BK18" t="s">
        <v>16</v>
      </c>
      <c r="BL18" t="s">
        <v>16</v>
      </c>
      <c r="BN18">
        <v>0.68149738957878803</v>
      </c>
      <c r="BP18" t="s">
        <v>16</v>
      </c>
      <c r="BS18" t="s">
        <v>16</v>
      </c>
      <c r="BT18">
        <v>0.75609756097560898</v>
      </c>
      <c r="BV18" t="s">
        <v>16</v>
      </c>
      <c r="BW18" t="s">
        <v>16</v>
      </c>
      <c r="BX18" t="s">
        <v>16</v>
      </c>
      <c r="BY18" t="s">
        <v>16</v>
      </c>
      <c r="CA18" t="s">
        <v>16</v>
      </c>
      <c r="CB18">
        <v>0.19148936170212699</v>
      </c>
      <c r="CD18">
        <v>0.73333333333333295</v>
      </c>
      <c r="CF18" t="s">
        <v>16</v>
      </c>
      <c r="CG18" t="s">
        <v>16</v>
      </c>
      <c r="CI18">
        <f t="shared" si="2"/>
        <v>0.60563159019957091</v>
      </c>
      <c r="CJ18">
        <f t="shared" si="0"/>
        <v>0</v>
      </c>
      <c r="CK18">
        <f t="shared" si="1"/>
        <v>0.68149738957878803</v>
      </c>
    </row>
    <row r="19" spans="1:89" x14ac:dyDescent="0.25">
      <c r="A19" t="s">
        <v>76</v>
      </c>
      <c r="B19" t="s">
        <v>70</v>
      </c>
      <c r="D19" s="3">
        <v>1</v>
      </c>
      <c r="E19" s="3">
        <v>1</v>
      </c>
      <c r="F19" s="3">
        <v>1</v>
      </c>
      <c r="G19" s="3">
        <v>1</v>
      </c>
      <c r="AH19" t="s">
        <v>16</v>
      </c>
      <c r="AI19" t="s">
        <v>16</v>
      </c>
      <c r="AL19" t="s">
        <v>16</v>
      </c>
      <c r="AP19" t="s">
        <v>16</v>
      </c>
      <c r="AW19" t="s">
        <v>16</v>
      </c>
      <c r="AX19" t="s">
        <v>16</v>
      </c>
      <c r="AZ19" t="s">
        <v>16</v>
      </c>
      <c r="BB19" t="s">
        <v>16</v>
      </c>
      <c r="BD19" t="s">
        <v>16</v>
      </c>
      <c r="BF19" t="s">
        <v>16</v>
      </c>
      <c r="BH19" t="s">
        <v>16</v>
      </c>
      <c r="BK19">
        <v>0.837380595976982</v>
      </c>
      <c r="BL19">
        <v>0.99288232187652803</v>
      </c>
      <c r="BN19">
        <v>0.68958333333333299</v>
      </c>
      <c r="BP19" t="s">
        <v>16</v>
      </c>
      <c r="BS19" t="s">
        <v>16</v>
      </c>
      <c r="BT19" t="s">
        <v>16</v>
      </c>
      <c r="BV19">
        <v>0.52492167898894204</v>
      </c>
      <c r="BW19" t="s">
        <v>16</v>
      </c>
      <c r="BX19">
        <v>0.78062015503875903</v>
      </c>
      <c r="BY19">
        <v>1</v>
      </c>
      <c r="CA19" t="s">
        <v>16</v>
      </c>
      <c r="CB19" t="s">
        <v>16</v>
      </c>
      <c r="CD19" t="s">
        <v>16</v>
      </c>
      <c r="CF19">
        <v>0.987920984524715</v>
      </c>
      <c r="CG19" t="s">
        <v>16</v>
      </c>
      <c r="CI19">
        <f t="shared" si="2"/>
        <v>1</v>
      </c>
      <c r="CJ19">
        <f t="shared" si="0"/>
        <v>0</v>
      </c>
      <c r="CK19">
        <f>AVERAGE(BK19,BL19,BN19,BU19,BV19,BW19,BX19,CA19,CE19,CF19)</f>
        <v>0.80221817828987652</v>
      </c>
    </row>
    <row r="20" spans="1:89" x14ac:dyDescent="0.25">
      <c r="A20" t="s">
        <v>96</v>
      </c>
      <c r="B20">
        <v>1</v>
      </c>
      <c r="C20" s="1">
        <v>10</v>
      </c>
      <c r="D20" s="3">
        <v>2</v>
      </c>
      <c r="E20" s="3">
        <v>3</v>
      </c>
      <c r="F20" s="3">
        <v>2</v>
      </c>
      <c r="G20" s="3">
        <v>3</v>
      </c>
      <c r="AH20" t="s">
        <v>16</v>
      </c>
      <c r="AI20" t="s">
        <v>16</v>
      </c>
      <c r="AL20" t="s">
        <v>16</v>
      </c>
      <c r="AP20">
        <v>1</v>
      </c>
      <c r="AW20">
        <v>0</v>
      </c>
      <c r="AX20" t="s">
        <v>16</v>
      </c>
      <c r="AZ20" t="s">
        <v>16</v>
      </c>
      <c r="BB20" t="s">
        <v>16</v>
      </c>
      <c r="BD20" t="s">
        <v>16</v>
      </c>
      <c r="BF20">
        <v>0.41641554951341198</v>
      </c>
      <c r="BH20" t="s">
        <v>16</v>
      </c>
      <c r="BK20" t="s">
        <v>16</v>
      </c>
      <c r="BL20" t="s">
        <v>16</v>
      </c>
      <c r="BN20" t="s">
        <v>16</v>
      </c>
      <c r="BP20" t="s">
        <v>16</v>
      </c>
      <c r="BS20">
        <v>1</v>
      </c>
      <c r="BT20" t="s">
        <v>16</v>
      </c>
      <c r="BV20">
        <v>0.74943754497741799</v>
      </c>
      <c r="BW20">
        <v>0.65882352941176403</v>
      </c>
      <c r="BX20" t="s">
        <v>16</v>
      </c>
      <c r="BY20" t="s">
        <v>16</v>
      </c>
      <c r="CA20" t="s">
        <v>16</v>
      </c>
      <c r="CB20" t="s">
        <v>16</v>
      </c>
      <c r="CD20" t="s">
        <v>16</v>
      </c>
      <c r="CF20" t="s">
        <v>16</v>
      </c>
      <c r="CG20" t="s">
        <v>16</v>
      </c>
      <c r="CI20">
        <f t="shared" si="2"/>
        <v>0</v>
      </c>
      <c r="CJ20">
        <f t="shared" si="0"/>
        <v>0.60410388737835297</v>
      </c>
      <c r="CK20">
        <f t="shared" si="1"/>
        <v>0.70413053719459096</v>
      </c>
    </row>
    <row r="21" spans="1:89" x14ac:dyDescent="0.25">
      <c r="A21" t="s">
        <v>113</v>
      </c>
      <c r="B21">
        <v>1</v>
      </c>
      <c r="C21" s="1">
        <v>10</v>
      </c>
      <c r="D21" s="3">
        <v>2</v>
      </c>
      <c r="E21" s="3">
        <v>2</v>
      </c>
      <c r="F21" s="3">
        <v>1</v>
      </c>
      <c r="G21" s="3">
        <v>1</v>
      </c>
      <c r="AH21" t="s">
        <v>16</v>
      </c>
      <c r="AI21" t="s">
        <v>16</v>
      </c>
      <c r="AL21" t="s">
        <v>16</v>
      </c>
      <c r="AP21">
        <v>0.81379696822543601</v>
      </c>
      <c r="AW21">
        <v>0</v>
      </c>
      <c r="AX21" t="s">
        <v>16</v>
      </c>
      <c r="AZ21" t="s">
        <v>16</v>
      </c>
      <c r="BB21" t="s">
        <v>16</v>
      </c>
      <c r="BD21" t="s">
        <v>16</v>
      </c>
      <c r="BF21">
        <v>0.56110326202087801</v>
      </c>
      <c r="BH21" t="s">
        <v>16</v>
      </c>
      <c r="BK21" t="s">
        <v>16</v>
      </c>
      <c r="BL21" t="s">
        <v>16</v>
      </c>
      <c r="BN21" t="s">
        <v>16</v>
      </c>
      <c r="BP21" t="s">
        <v>16</v>
      </c>
      <c r="BS21">
        <v>1</v>
      </c>
      <c r="BT21" t="s">
        <v>16</v>
      </c>
      <c r="BV21">
        <v>0.96922735666856596</v>
      </c>
      <c r="BW21">
        <v>0.533063888888888</v>
      </c>
      <c r="BX21" t="s">
        <v>16</v>
      </c>
      <c r="BY21" t="s">
        <v>16</v>
      </c>
      <c r="CA21" t="s">
        <v>16</v>
      </c>
      <c r="CB21" t="s">
        <v>16</v>
      </c>
      <c r="CD21" t="s">
        <v>16</v>
      </c>
      <c r="CF21" t="s">
        <v>16</v>
      </c>
      <c r="CG21" t="s">
        <v>16</v>
      </c>
      <c r="CI21">
        <f t="shared" si="2"/>
        <v>0</v>
      </c>
      <c r="CJ21">
        <f t="shared" si="0"/>
        <v>0.59372505756157845</v>
      </c>
      <c r="CK21">
        <f t="shared" si="1"/>
        <v>0.75114562277872698</v>
      </c>
    </row>
    <row r="22" spans="1:89" x14ac:dyDescent="0.25">
      <c r="A22" t="s">
        <v>22</v>
      </c>
      <c r="B22" t="s">
        <v>55</v>
      </c>
      <c r="C22" s="1">
        <v>7</v>
      </c>
      <c r="D22" s="3">
        <v>2</v>
      </c>
      <c r="E22" s="3">
        <v>2</v>
      </c>
      <c r="F22" s="3">
        <v>2</v>
      </c>
      <c r="G22" s="3">
        <v>2</v>
      </c>
      <c r="AH22" t="s">
        <v>16</v>
      </c>
      <c r="AI22">
        <v>0.95663335505970104</v>
      </c>
      <c r="AL22" t="s">
        <v>16</v>
      </c>
      <c r="AP22" t="s">
        <v>16</v>
      </c>
      <c r="AW22">
        <v>0</v>
      </c>
      <c r="AX22" t="s">
        <v>16</v>
      </c>
      <c r="AZ22" t="s">
        <v>16</v>
      </c>
      <c r="BB22" t="s">
        <v>16</v>
      </c>
      <c r="BD22">
        <v>0.81102362204724399</v>
      </c>
      <c r="BF22">
        <v>0.68751040029859301</v>
      </c>
      <c r="BH22" t="s">
        <v>16</v>
      </c>
      <c r="BK22" t="s">
        <v>16</v>
      </c>
      <c r="BL22" t="s">
        <v>16</v>
      </c>
      <c r="BN22">
        <v>0.89943953621361095</v>
      </c>
      <c r="BP22">
        <v>0.92134831460674105</v>
      </c>
      <c r="BS22">
        <v>1</v>
      </c>
      <c r="BT22" t="s">
        <v>16</v>
      </c>
      <c r="BV22" t="s">
        <v>16</v>
      </c>
      <c r="BW22">
        <v>0.89813390952248195</v>
      </c>
      <c r="BX22" t="s">
        <v>16</v>
      </c>
      <c r="BY22">
        <v>0.90909090909090895</v>
      </c>
      <c r="CA22" t="s">
        <v>16</v>
      </c>
      <c r="CB22" t="s">
        <v>16</v>
      </c>
      <c r="CD22" t="s">
        <v>16</v>
      </c>
      <c r="CF22">
        <v>0.998769186320556</v>
      </c>
      <c r="CG22" t="s">
        <v>16</v>
      </c>
      <c r="CI22">
        <f t="shared" si="2"/>
        <v>0.89952405020114878</v>
      </c>
      <c r="CJ22">
        <f t="shared" si="0"/>
        <v>0.56250346676619767</v>
      </c>
      <c r="CK22">
        <f t="shared" si="1"/>
        <v>0.93211421068554967</v>
      </c>
    </row>
    <row r="23" spans="1:89" x14ac:dyDescent="0.25">
      <c r="A23" t="s">
        <v>77</v>
      </c>
      <c r="B23" t="s">
        <v>70</v>
      </c>
      <c r="C23" s="1">
        <v>3</v>
      </c>
      <c r="D23" s="3">
        <v>2</v>
      </c>
      <c r="E23" s="3">
        <v>1</v>
      </c>
      <c r="F23" s="3">
        <v>3</v>
      </c>
      <c r="G23" s="3">
        <v>2</v>
      </c>
      <c r="AH23">
        <v>0.87128712871287095</v>
      </c>
      <c r="AI23">
        <v>0.85057471264367801</v>
      </c>
      <c r="AL23">
        <v>0.78930190041822001</v>
      </c>
      <c r="AP23" t="s">
        <v>16</v>
      </c>
      <c r="AW23" t="s">
        <v>16</v>
      </c>
      <c r="AX23">
        <v>0.34860254189645501</v>
      </c>
      <c r="AZ23" t="s">
        <v>16</v>
      </c>
      <c r="BB23" t="s">
        <v>16</v>
      </c>
      <c r="BD23">
        <v>0.8</v>
      </c>
      <c r="BF23">
        <v>0.45539379065790703</v>
      </c>
      <c r="BH23" t="s">
        <v>16</v>
      </c>
      <c r="BK23" t="s">
        <v>16</v>
      </c>
      <c r="BL23">
        <v>0.92296094544117202</v>
      </c>
      <c r="BN23">
        <v>0.62930694444444402</v>
      </c>
      <c r="BP23">
        <v>0.52004486809260497</v>
      </c>
      <c r="BS23">
        <v>0.53210184058305299</v>
      </c>
      <c r="BT23" t="s">
        <v>16</v>
      </c>
      <c r="BV23" t="s">
        <v>16</v>
      </c>
      <c r="BW23" t="s">
        <v>16</v>
      </c>
      <c r="BX23">
        <v>0.90758499999999998</v>
      </c>
      <c r="BY23" t="s">
        <v>16</v>
      </c>
      <c r="CA23">
        <v>0.99645879673367399</v>
      </c>
      <c r="CB23" t="s">
        <v>16</v>
      </c>
      <c r="CD23" t="s">
        <v>16</v>
      </c>
      <c r="CF23" t="s">
        <v>16</v>
      </c>
      <c r="CG23">
        <v>0.83333333333333304</v>
      </c>
      <c r="CI23">
        <f t="shared" si="2"/>
        <v>0.77504800855649747</v>
      </c>
      <c r="CJ23">
        <f t="shared" si="0"/>
        <v>0.53135001838890872</v>
      </c>
      <c r="CK23">
        <f t="shared" si="1"/>
        <v>0.86407792165482245</v>
      </c>
    </row>
    <row r="24" spans="1:89" x14ac:dyDescent="0.25">
      <c r="A24" t="s">
        <v>102</v>
      </c>
      <c r="B24">
        <v>1</v>
      </c>
      <c r="C24" s="1">
        <v>9</v>
      </c>
      <c r="D24" s="3">
        <v>3</v>
      </c>
      <c r="E24" s="3">
        <v>3</v>
      </c>
      <c r="F24" s="3">
        <v>3</v>
      </c>
      <c r="G24" s="3">
        <v>3</v>
      </c>
      <c r="AH24" t="s">
        <v>16</v>
      </c>
      <c r="AI24" t="s">
        <v>16</v>
      </c>
      <c r="AL24" t="s">
        <v>16</v>
      </c>
      <c r="AP24" t="s">
        <v>16</v>
      </c>
      <c r="AW24" t="s">
        <v>16</v>
      </c>
      <c r="AX24" t="s">
        <v>16</v>
      </c>
      <c r="AZ24" t="s">
        <v>16</v>
      </c>
      <c r="BB24" t="s">
        <v>16</v>
      </c>
      <c r="BD24" t="s">
        <v>16</v>
      </c>
      <c r="BF24">
        <v>0.74054226073190599</v>
      </c>
      <c r="BH24" t="s">
        <v>16</v>
      </c>
      <c r="BK24" t="s">
        <v>16</v>
      </c>
      <c r="BL24" t="s">
        <v>16</v>
      </c>
      <c r="BN24" t="s">
        <v>16</v>
      </c>
      <c r="BP24" t="s">
        <v>16</v>
      </c>
      <c r="BS24">
        <v>0.77671328404376305</v>
      </c>
      <c r="BT24" t="s">
        <v>16</v>
      </c>
      <c r="BV24">
        <v>0.62567039437633598</v>
      </c>
      <c r="BW24">
        <v>0.67922249999999995</v>
      </c>
      <c r="BX24" t="s">
        <v>16</v>
      </c>
      <c r="BY24" t="s">
        <v>16</v>
      </c>
      <c r="CA24" t="s">
        <v>16</v>
      </c>
      <c r="CB24" t="s">
        <v>16</v>
      </c>
      <c r="CD24" t="s">
        <v>16</v>
      </c>
      <c r="CF24" t="s">
        <v>16</v>
      </c>
      <c r="CG24" t="s">
        <v>16</v>
      </c>
      <c r="CI24">
        <f t="shared" si="2"/>
        <v>0</v>
      </c>
      <c r="CJ24">
        <f t="shared" si="0"/>
        <v>0.75862777238783452</v>
      </c>
      <c r="CK24">
        <f t="shared" si="1"/>
        <v>0.65244644718816791</v>
      </c>
    </row>
    <row r="25" spans="1:89" x14ac:dyDescent="0.25">
      <c r="A25" t="s">
        <v>80</v>
      </c>
      <c r="B25">
        <v>3</v>
      </c>
      <c r="C25" s="1"/>
      <c r="D25" s="3">
        <v>1</v>
      </c>
      <c r="E25" s="3">
        <v>1</v>
      </c>
      <c r="F25" s="3">
        <v>1</v>
      </c>
      <c r="G25" s="3">
        <v>1</v>
      </c>
      <c r="AH25" t="s">
        <v>16</v>
      </c>
      <c r="AI25" t="s">
        <v>16</v>
      </c>
      <c r="AL25" t="s">
        <v>16</v>
      </c>
      <c r="AP25" t="s">
        <v>16</v>
      </c>
      <c r="AW25" t="s">
        <v>16</v>
      </c>
      <c r="AX25" t="s">
        <v>16</v>
      </c>
      <c r="AZ25">
        <v>0.50450450450450401</v>
      </c>
      <c r="BB25">
        <v>0.15384615384615299</v>
      </c>
      <c r="BD25">
        <v>0.98555956678700296</v>
      </c>
      <c r="BF25" t="s">
        <v>16</v>
      </c>
      <c r="BH25">
        <v>0.71621621621621601</v>
      </c>
      <c r="BK25" t="s">
        <v>16</v>
      </c>
      <c r="BL25" t="s">
        <v>16</v>
      </c>
      <c r="BN25">
        <v>0.87550854485339602</v>
      </c>
      <c r="BP25">
        <v>0.59731543624160999</v>
      </c>
      <c r="BS25" t="s">
        <v>16</v>
      </c>
      <c r="BT25">
        <v>0.625</v>
      </c>
      <c r="BV25" t="s">
        <v>16</v>
      </c>
      <c r="BW25">
        <v>0.96485660757578795</v>
      </c>
      <c r="BX25" t="s">
        <v>16</v>
      </c>
      <c r="BY25" t="s">
        <v>16</v>
      </c>
      <c r="CA25" t="s">
        <v>16</v>
      </c>
      <c r="CB25">
        <v>4.7619047619047603E-2</v>
      </c>
      <c r="CD25">
        <v>0.48412698412698402</v>
      </c>
      <c r="CF25" t="s">
        <v>16</v>
      </c>
      <c r="CG25" t="s">
        <v>16</v>
      </c>
      <c r="CI25">
        <f t="shared" si="2"/>
        <v>0.51427348866768963</v>
      </c>
      <c r="CJ25">
        <f t="shared" si="0"/>
        <v>0</v>
      </c>
      <c r="CK25">
        <f t="shared" si="1"/>
        <v>0.92018257621459199</v>
      </c>
    </row>
    <row r="26" spans="1:89" x14ac:dyDescent="0.25">
      <c r="A26" t="s">
        <v>71</v>
      </c>
      <c r="B26" t="s">
        <v>70</v>
      </c>
      <c r="C26" s="1">
        <v>9</v>
      </c>
      <c r="D26" s="3">
        <v>2</v>
      </c>
      <c r="E26" s="3">
        <v>2</v>
      </c>
      <c r="F26" s="3">
        <v>2</v>
      </c>
      <c r="G26" s="3">
        <v>2</v>
      </c>
      <c r="AH26" t="s">
        <v>16</v>
      </c>
      <c r="AI26">
        <v>0.96129032258064495</v>
      </c>
      <c r="AL26" t="s">
        <v>16</v>
      </c>
      <c r="AP26" t="s">
        <v>16</v>
      </c>
      <c r="AW26" t="s">
        <v>16</v>
      </c>
      <c r="AX26">
        <v>0</v>
      </c>
      <c r="AZ26" t="s">
        <v>16</v>
      </c>
      <c r="BB26" t="s">
        <v>16</v>
      </c>
      <c r="BD26">
        <v>0.89898989898989901</v>
      </c>
      <c r="BF26">
        <v>0.43693170880395998</v>
      </c>
      <c r="BH26" t="s">
        <v>16</v>
      </c>
      <c r="BK26" t="s">
        <v>16</v>
      </c>
      <c r="BL26">
        <v>0.95474327182832097</v>
      </c>
      <c r="BN26">
        <v>0.81127997623325598</v>
      </c>
      <c r="BP26">
        <v>0.98675496688741704</v>
      </c>
      <c r="BS26">
        <v>0.66742647571387304</v>
      </c>
      <c r="BT26" t="s">
        <v>16</v>
      </c>
      <c r="BV26" t="s">
        <v>16</v>
      </c>
      <c r="BW26" t="s">
        <v>16</v>
      </c>
      <c r="BX26">
        <v>0.43731944444444398</v>
      </c>
      <c r="BY26" t="s">
        <v>16</v>
      </c>
      <c r="CA26">
        <v>0.93196766140308296</v>
      </c>
      <c r="CB26" t="s">
        <v>16</v>
      </c>
      <c r="CD26" t="s">
        <v>16</v>
      </c>
      <c r="CF26" t="s">
        <v>16</v>
      </c>
      <c r="CG26">
        <v>0.97222222222222199</v>
      </c>
      <c r="CI26">
        <f t="shared" si="2"/>
        <v>0.95481435267004566</v>
      </c>
      <c r="CJ26">
        <f t="shared" si="0"/>
        <v>0.36811939483927764</v>
      </c>
      <c r="CK26">
        <f t="shared" si="1"/>
        <v>0.78382758847727607</v>
      </c>
    </row>
    <row r="27" spans="1:89" x14ac:dyDescent="0.25">
      <c r="A27" t="s">
        <v>78</v>
      </c>
      <c r="B27" t="s">
        <v>70</v>
      </c>
      <c r="C27" s="1">
        <v>2</v>
      </c>
      <c r="D27" s="3">
        <v>1</v>
      </c>
      <c r="E27" s="3">
        <v>3</v>
      </c>
      <c r="F27" s="3">
        <v>2</v>
      </c>
      <c r="G27" s="3">
        <v>2</v>
      </c>
      <c r="AH27">
        <v>0.89898989898989901</v>
      </c>
      <c r="AI27">
        <v>0.91752577319587603</v>
      </c>
      <c r="AL27" t="s">
        <v>16</v>
      </c>
      <c r="AP27" t="s">
        <v>16</v>
      </c>
      <c r="AW27" t="s">
        <v>16</v>
      </c>
      <c r="AX27">
        <v>0</v>
      </c>
      <c r="AZ27" t="s">
        <v>16</v>
      </c>
      <c r="BB27" t="s">
        <v>16</v>
      </c>
      <c r="BD27">
        <v>0.449438202247191</v>
      </c>
      <c r="BF27">
        <v>0.17632047654597499</v>
      </c>
      <c r="BH27" t="s">
        <v>16</v>
      </c>
      <c r="BK27">
        <v>0.53684210526315701</v>
      </c>
      <c r="BL27">
        <v>0.81727450288610803</v>
      </c>
      <c r="BN27" t="s">
        <v>16</v>
      </c>
      <c r="BP27">
        <v>0.844444444444444</v>
      </c>
      <c r="BS27">
        <v>0.34860254189645501</v>
      </c>
      <c r="BT27" t="s">
        <v>16</v>
      </c>
      <c r="BV27" t="s">
        <v>16</v>
      </c>
      <c r="BW27">
        <v>0.78464124401817703</v>
      </c>
      <c r="BX27">
        <v>0.44977361111111103</v>
      </c>
      <c r="BY27" t="s">
        <v>16</v>
      </c>
      <c r="CA27">
        <v>0.94024180724613404</v>
      </c>
      <c r="CB27" t="s">
        <v>16</v>
      </c>
      <c r="CD27" t="s">
        <v>16</v>
      </c>
      <c r="CF27" t="s">
        <v>16</v>
      </c>
      <c r="CG27">
        <v>0.75757575757575701</v>
      </c>
      <c r="CI27">
        <f t="shared" si="2"/>
        <v>0.77359481529063356</v>
      </c>
      <c r="CJ27">
        <f t="shared" si="0"/>
        <v>0.17497433948081001</v>
      </c>
      <c r="CK27">
        <f t="shared" si="1"/>
        <v>0.70575465410493743</v>
      </c>
    </row>
    <row r="28" spans="1:89" x14ac:dyDescent="0.25">
      <c r="A28" t="s">
        <v>47</v>
      </c>
      <c r="B28" t="s">
        <v>55</v>
      </c>
      <c r="C28" s="1">
        <v>10</v>
      </c>
      <c r="D28" s="3">
        <v>3</v>
      </c>
      <c r="E28" s="3">
        <v>3</v>
      </c>
      <c r="F28" s="3">
        <v>3</v>
      </c>
      <c r="G28" s="3">
        <v>3</v>
      </c>
      <c r="AH28">
        <v>0.94841269841269804</v>
      </c>
      <c r="AI28">
        <v>0.94801223241590205</v>
      </c>
      <c r="AL28">
        <v>1</v>
      </c>
      <c r="AP28" t="s">
        <v>16</v>
      </c>
      <c r="AW28" t="s">
        <v>16</v>
      </c>
      <c r="AX28">
        <v>1</v>
      </c>
      <c r="AZ28" t="s">
        <v>16</v>
      </c>
      <c r="BB28" t="s">
        <v>16</v>
      </c>
      <c r="BD28">
        <v>0.88111888111888104</v>
      </c>
      <c r="BF28">
        <v>1</v>
      </c>
      <c r="BH28" t="s">
        <v>16</v>
      </c>
      <c r="BK28" t="s">
        <v>16</v>
      </c>
      <c r="BL28" t="s">
        <v>16</v>
      </c>
      <c r="BN28">
        <v>0.86565144996837595</v>
      </c>
      <c r="BP28">
        <v>0.96</v>
      </c>
      <c r="BS28">
        <v>0.15138236559538501</v>
      </c>
      <c r="BT28" t="s">
        <v>16</v>
      </c>
      <c r="BV28" t="s">
        <v>16</v>
      </c>
      <c r="BW28">
        <v>0.96338310474404598</v>
      </c>
      <c r="BX28" t="s">
        <v>16</v>
      </c>
      <c r="BY28">
        <v>0.80645161290322498</v>
      </c>
      <c r="CA28" t="s">
        <v>16</v>
      </c>
      <c r="CB28" t="s">
        <v>16</v>
      </c>
      <c r="CD28" t="s">
        <v>16</v>
      </c>
      <c r="CF28">
        <v>0.94057663299606697</v>
      </c>
      <c r="CG28" t="s">
        <v>16</v>
      </c>
      <c r="CI28">
        <f t="shared" si="2"/>
        <v>0.90879908497014106</v>
      </c>
      <c r="CJ28">
        <f t="shared" si="0"/>
        <v>0.78784559139884625</v>
      </c>
      <c r="CK28">
        <f t="shared" si="1"/>
        <v>0.92320372923616301</v>
      </c>
    </row>
    <row r="29" spans="1:89" x14ac:dyDescent="0.25">
      <c r="A29" t="s">
        <v>49</v>
      </c>
      <c r="B29" t="s">
        <v>70</v>
      </c>
      <c r="C29" s="1">
        <v>10</v>
      </c>
      <c r="D29" s="3">
        <v>2</v>
      </c>
      <c r="E29" s="3">
        <v>2</v>
      </c>
      <c r="F29" s="3">
        <v>2</v>
      </c>
      <c r="G29" s="3">
        <v>2</v>
      </c>
      <c r="AH29">
        <v>0.95135135135135096</v>
      </c>
      <c r="AI29">
        <v>0.87878787878787801</v>
      </c>
      <c r="AL29">
        <v>0.52716861607973198</v>
      </c>
      <c r="AP29" t="s">
        <v>16</v>
      </c>
      <c r="AW29">
        <v>0</v>
      </c>
      <c r="AX29">
        <v>0</v>
      </c>
      <c r="AZ29" t="s">
        <v>16</v>
      </c>
      <c r="BB29" t="s">
        <v>16</v>
      </c>
      <c r="BD29">
        <v>0.80821917808219101</v>
      </c>
      <c r="BF29">
        <v>0.423912172305209</v>
      </c>
      <c r="BH29" t="s">
        <v>16</v>
      </c>
      <c r="BK29" t="s">
        <v>16</v>
      </c>
      <c r="BL29">
        <v>0.97602705665508804</v>
      </c>
      <c r="BN29">
        <v>0.41994166666666599</v>
      </c>
      <c r="BP29">
        <v>0.76744186046511598</v>
      </c>
      <c r="BS29">
        <v>0.483612926670347</v>
      </c>
      <c r="BT29" t="s">
        <v>16</v>
      </c>
      <c r="BV29" t="s">
        <v>16</v>
      </c>
      <c r="BW29" t="s">
        <v>16</v>
      </c>
      <c r="BX29" t="s">
        <v>16</v>
      </c>
      <c r="BY29" t="s">
        <v>16</v>
      </c>
      <c r="CA29">
        <v>0.99159797389412596</v>
      </c>
      <c r="CB29">
        <v>0.90322580645161199</v>
      </c>
      <c r="CD29" t="s">
        <v>16</v>
      </c>
      <c r="CF29" t="s">
        <v>16</v>
      </c>
      <c r="CG29">
        <v>0.92105263157894701</v>
      </c>
      <c r="CI29">
        <f t="shared" si="2"/>
        <v>0.8716797844528491</v>
      </c>
      <c r="CJ29">
        <f t="shared" si="0"/>
        <v>0.2869387430110576</v>
      </c>
      <c r="CK29">
        <f t="shared" si="1"/>
        <v>0.79585556573862659</v>
      </c>
    </row>
    <row r="30" spans="1:89" x14ac:dyDescent="0.25">
      <c r="A30" t="s">
        <v>87</v>
      </c>
      <c r="B30">
        <v>3</v>
      </c>
      <c r="C30" s="1"/>
      <c r="D30" s="3">
        <v>2</v>
      </c>
      <c r="E30" s="3">
        <v>2</v>
      </c>
      <c r="F30" s="3">
        <v>2</v>
      </c>
      <c r="G30" s="3">
        <v>2</v>
      </c>
      <c r="AH30" t="s">
        <v>16</v>
      </c>
      <c r="AI30" t="s">
        <v>16</v>
      </c>
      <c r="AL30" t="s">
        <v>16</v>
      </c>
      <c r="AP30" t="s">
        <v>16</v>
      </c>
      <c r="AW30" t="s">
        <v>16</v>
      </c>
      <c r="AX30" t="s">
        <v>16</v>
      </c>
      <c r="AZ30">
        <v>0.82417582417582402</v>
      </c>
      <c r="BB30">
        <v>0.83333333333333304</v>
      </c>
      <c r="BD30" t="s">
        <v>16</v>
      </c>
      <c r="BF30" t="s">
        <v>16</v>
      </c>
      <c r="BH30">
        <v>0.64102564102564097</v>
      </c>
      <c r="BK30" t="s">
        <v>16</v>
      </c>
      <c r="BL30" t="s">
        <v>16</v>
      </c>
      <c r="BN30">
        <v>0.97408120238695395</v>
      </c>
      <c r="BP30" t="s">
        <v>16</v>
      </c>
      <c r="BS30" t="s">
        <v>16</v>
      </c>
      <c r="BT30">
        <v>0.898876404494382</v>
      </c>
      <c r="BV30" t="s">
        <v>16</v>
      </c>
      <c r="BW30">
        <v>0.85454145452145303</v>
      </c>
      <c r="BX30" t="s">
        <v>16</v>
      </c>
      <c r="BY30" t="s">
        <v>16</v>
      </c>
      <c r="CA30" t="s">
        <v>16</v>
      </c>
      <c r="CB30">
        <v>0.36923076923076897</v>
      </c>
      <c r="CD30">
        <v>0.48780487804877998</v>
      </c>
      <c r="CF30" t="s">
        <v>16</v>
      </c>
      <c r="CG30" t="s">
        <v>16</v>
      </c>
      <c r="CI30">
        <f t="shared" si="2"/>
        <v>0.6757411417181215</v>
      </c>
      <c r="CJ30">
        <f t="shared" si="0"/>
        <v>0</v>
      </c>
      <c r="CK30">
        <f t="shared" si="1"/>
        <v>0.91431132845420349</v>
      </c>
    </row>
    <row r="31" spans="1:89" x14ac:dyDescent="0.25">
      <c r="A31" t="s">
        <v>29</v>
      </c>
      <c r="B31">
        <v>4</v>
      </c>
      <c r="C31" s="1"/>
      <c r="D31" s="3"/>
      <c r="E31" s="3"/>
      <c r="F31" s="3"/>
      <c r="G31" s="3"/>
      <c r="AH31" t="s">
        <v>16</v>
      </c>
      <c r="AI31" t="s">
        <v>16</v>
      </c>
      <c r="AL31" t="s">
        <v>16</v>
      </c>
      <c r="AP31" t="s">
        <v>16</v>
      </c>
      <c r="AW31" t="s">
        <v>16</v>
      </c>
      <c r="AX31" t="s">
        <v>16</v>
      </c>
      <c r="AZ31" t="s">
        <v>16</v>
      </c>
      <c r="BB31" t="s">
        <v>16</v>
      </c>
      <c r="BD31" t="s">
        <v>16</v>
      </c>
      <c r="BF31" t="s">
        <v>16</v>
      </c>
      <c r="BH31" t="s">
        <v>16</v>
      </c>
      <c r="BK31" t="s">
        <v>16</v>
      </c>
      <c r="BL31" t="s">
        <v>16</v>
      </c>
      <c r="BN31" t="s">
        <v>16</v>
      </c>
      <c r="BP31" t="s">
        <v>16</v>
      </c>
      <c r="BS31" t="s">
        <v>16</v>
      </c>
      <c r="BT31" t="s">
        <v>16</v>
      </c>
      <c r="BV31" t="s">
        <v>16</v>
      </c>
      <c r="BW31" t="s">
        <v>16</v>
      </c>
      <c r="BX31" t="s">
        <v>16</v>
      </c>
      <c r="BY31" t="s">
        <v>16</v>
      </c>
      <c r="CA31" t="s">
        <v>16</v>
      </c>
      <c r="CB31" t="s">
        <v>16</v>
      </c>
      <c r="CD31" t="s">
        <v>16</v>
      </c>
      <c r="CF31" t="s">
        <v>16</v>
      </c>
      <c r="CG31" t="s">
        <v>16</v>
      </c>
      <c r="CI31">
        <f t="shared" si="2"/>
        <v>0</v>
      </c>
      <c r="CJ31">
        <f t="shared" si="0"/>
        <v>0</v>
      </c>
      <c r="CK31">
        <f t="shared" si="1"/>
        <v>0</v>
      </c>
    </row>
    <row r="32" spans="1:89" x14ac:dyDescent="0.25">
      <c r="A32" t="s">
        <v>57</v>
      </c>
      <c r="B32" t="s">
        <v>55</v>
      </c>
      <c r="C32" s="1">
        <v>7</v>
      </c>
      <c r="D32" s="3">
        <v>2</v>
      </c>
      <c r="E32" s="3">
        <v>2</v>
      </c>
      <c r="F32" s="3">
        <v>2</v>
      </c>
      <c r="G32" s="3">
        <v>1</v>
      </c>
      <c r="AH32">
        <v>0.92965087858651696</v>
      </c>
      <c r="AI32">
        <v>0.91902834008097101</v>
      </c>
      <c r="AL32" t="s">
        <v>16</v>
      </c>
      <c r="AP32" t="s">
        <v>16</v>
      </c>
      <c r="AW32">
        <v>0</v>
      </c>
      <c r="AX32">
        <v>0</v>
      </c>
      <c r="AZ32" t="s">
        <v>16</v>
      </c>
      <c r="BB32" t="s">
        <v>16</v>
      </c>
      <c r="BD32">
        <v>0.85263157894736796</v>
      </c>
      <c r="BF32">
        <v>0.93637433728961805</v>
      </c>
      <c r="BH32" t="s">
        <v>16</v>
      </c>
      <c r="BK32" t="s">
        <v>16</v>
      </c>
      <c r="BL32" t="s">
        <v>16</v>
      </c>
      <c r="BN32">
        <v>0.82677261950104597</v>
      </c>
      <c r="BP32">
        <v>0.84615384615384603</v>
      </c>
      <c r="BS32" t="s">
        <v>16</v>
      </c>
      <c r="BT32" t="s">
        <v>16</v>
      </c>
      <c r="BV32" t="s">
        <v>16</v>
      </c>
      <c r="BW32">
        <v>0.83959216943158099</v>
      </c>
      <c r="BX32" t="s">
        <v>16</v>
      </c>
      <c r="BY32">
        <v>0.75757575757575701</v>
      </c>
      <c r="CA32" t="s">
        <v>16</v>
      </c>
      <c r="CB32" t="s">
        <v>16</v>
      </c>
      <c r="CD32" t="s">
        <v>16</v>
      </c>
      <c r="CF32">
        <v>0.99783014392164804</v>
      </c>
      <c r="CG32" t="s">
        <v>16</v>
      </c>
      <c r="CI32">
        <f t="shared" si="2"/>
        <v>0.86100808026889175</v>
      </c>
      <c r="CJ32">
        <f t="shared" si="0"/>
        <v>0.31212477909653935</v>
      </c>
      <c r="CK32">
        <f t="shared" si="1"/>
        <v>0.88806497761809167</v>
      </c>
    </row>
    <row r="33" spans="1:89" x14ac:dyDescent="0.25">
      <c r="A33" t="s">
        <v>35</v>
      </c>
      <c r="B33">
        <v>4</v>
      </c>
      <c r="C33" s="1"/>
      <c r="D33" s="3"/>
      <c r="E33" s="3"/>
      <c r="F33" s="3"/>
      <c r="G33" s="3"/>
      <c r="AH33" t="s">
        <v>16</v>
      </c>
      <c r="AI33" t="s">
        <v>16</v>
      </c>
      <c r="AL33" t="s">
        <v>16</v>
      </c>
      <c r="AP33" t="s">
        <v>16</v>
      </c>
      <c r="AW33" t="s">
        <v>16</v>
      </c>
      <c r="AX33" t="s">
        <v>16</v>
      </c>
      <c r="AZ33" t="s">
        <v>16</v>
      </c>
      <c r="BB33" t="s">
        <v>16</v>
      </c>
      <c r="BD33" t="s">
        <v>16</v>
      </c>
      <c r="BF33" t="s">
        <v>16</v>
      </c>
      <c r="BH33" t="s">
        <v>16</v>
      </c>
      <c r="BK33" t="s">
        <v>16</v>
      </c>
      <c r="BL33" t="s">
        <v>16</v>
      </c>
      <c r="BN33" t="s">
        <v>16</v>
      </c>
      <c r="BP33" t="s">
        <v>16</v>
      </c>
      <c r="BS33" t="s">
        <v>16</v>
      </c>
      <c r="BT33" t="s">
        <v>16</v>
      </c>
      <c r="BV33" t="s">
        <v>16</v>
      </c>
      <c r="BW33" t="s">
        <v>16</v>
      </c>
      <c r="BX33" t="s">
        <v>16</v>
      </c>
      <c r="BY33" t="s">
        <v>16</v>
      </c>
      <c r="CA33" t="s">
        <v>16</v>
      </c>
      <c r="CB33" t="s">
        <v>16</v>
      </c>
      <c r="CD33" t="s">
        <v>16</v>
      </c>
      <c r="CF33" t="s">
        <v>16</v>
      </c>
      <c r="CG33" t="s">
        <v>16</v>
      </c>
      <c r="CI33">
        <f t="shared" si="2"/>
        <v>0</v>
      </c>
      <c r="CJ33">
        <f t="shared" si="0"/>
        <v>0</v>
      </c>
      <c r="CK33">
        <f t="shared" si="1"/>
        <v>0</v>
      </c>
    </row>
    <row r="34" spans="1:89" x14ac:dyDescent="0.25">
      <c r="A34" t="s">
        <v>30</v>
      </c>
      <c r="B34">
        <v>4</v>
      </c>
      <c r="C34" s="1"/>
      <c r="D34" s="3"/>
      <c r="E34" s="3"/>
      <c r="F34" s="3"/>
      <c r="G34" s="3"/>
      <c r="AH34" t="s">
        <v>16</v>
      </c>
      <c r="AI34" t="s">
        <v>16</v>
      </c>
      <c r="AL34" t="s">
        <v>16</v>
      </c>
      <c r="AP34" t="s">
        <v>16</v>
      </c>
      <c r="AW34" t="s">
        <v>16</v>
      </c>
      <c r="AX34" t="s">
        <v>16</v>
      </c>
      <c r="AZ34" t="s">
        <v>16</v>
      </c>
      <c r="BB34" t="s">
        <v>16</v>
      </c>
      <c r="BD34" t="s">
        <v>16</v>
      </c>
      <c r="BF34" t="s">
        <v>16</v>
      </c>
      <c r="BH34" t="s">
        <v>16</v>
      </c>
      <c r="BK34" t="s">
        <v>16</v>
      </c>
      <c r="BL34" t="s">
        <v>16</v>
      </c>
      <c r="BN34" t="s">
        <v>16</v>
      </c>
      <c r="BP34" t="s">
        <v>16</v>
      </c>
      <c r="BS34" t="s">
        <v>16</v>
      </c>
      <c r="BT34" t="s">
        <v>16</v>
      </c>
      <c r="BV34" t="s">
        <v>16</v>
      </c>
      <c r="BW34" t="s">
        <v>16</v>
      </c>
      <c r="BX34" t="s">
        <v>16</v>
      </c>
      <c r="BY34" t="s">
        <v>16</v>
      </c>
      <c r="CA34" t="s">
        <v>16</v>
      </c>
      <c r="CB34" t="s">
        <v>16</v>
      </c>
      <c r="CD34" t="s">
        <v>16</v>
      </c>
      <c r="CF34" t="s">
        <v>16</v>
      </c>
      <c r="CG34" t="s">
        <v>16</v>
      </c>
      <c r="CI34">
        <f t="shared" si="2"/>
        <v>0</v>
      </c>
      <c r="CJ34">
        <f t="shared" si="0"/>
        <v>0</v>
      </c>
      <c r="CK34">
        <f t="shared" si="1"/>
        <v>0</v>
      </c>
    </row>
    <row r="35" spans="1:89" x14ac:dyDescent="0.25">
      <c r="A35" t="s">
        <v>109</v>
      </c>
      <c r="B35">
        <v>1</v>
      </c>
      <c r="C35" s="1">
        <v>10</v>
      </c>
      <c r="D35" s="3">
        <v>2</v>
      </c>
      <c r="E35" s="3">
        <v>2</v>
      </c>
      <c r="F35" s="3">
        <v>2</v>
      </c>
      <c r="G35" s="3">
        <v>3</v>
      </c>
      <c r="AH35" t="s">
        <v>16</v>
      </c>
      <c r="AI35" t="s">
        <v>16</v>
      </c>
      <c r="AL35" t="s">
        <v>16</v>
      </c>
      <c r="AP35">
        <v>0.72795076343986598</v>
      </c>
      <c r="AW35" t="s">
        <v>16</v>
      </c>
      <c r="AX35" t="s">
        <v>16</v>
      </c>
      <c r="AZ35" t="s">
        <v>16</v>
      </c>
      <c r="BB35" t="s">
        <v>16</v>
      </c>
      <c r="BD35" t="s">
        <v>16</v>
      </c>
      <c r="BF35">
        <v>0.712240137574359</v>
      </c>
      <c r="BH35" t="s">
        <v>16</v>
      </c>
      <c r="BK35" t="s">
        <v>16</v>
      </c>
      <c r="BL35" t="s">
        <v>16</v>
      </c>
      <c r="BN35" t="s">
        <v>16</v>
      </c>
      <c r="BP35" t="s">
        <v>16</v>
      </c>
      <c r="BS35">
        <v>0.21109548169995901</v>
      </c>
      <c r="BT35" t="s">
        <v>16</v>
      </c>
      <c r="BV35">
        <v>0.75451782734370698</v>
      </c>
      <c r="BW35">
        <v>0.55988229166666603</v>
      </c>
      <c r="BX35" t="s">
        <v>16</v>
      </c>
      <c r="BY35" t="s">
        <v>16</v>
      </c>
      <c r="CA35" t="s">
        <v>16</v>
      </c>
      <c r="CB35" t="s">
        <v>16</v>
      </c>
      <c r="CD35" t="s">
        <v>16</v>
      </c>
      <c r="CF35" t="s">
        <v>16</v>
      </c>
      <c r="CG35" t="s">
        <v>16</v>
      </c>
      <c r="CI35">
        <f t="shared" si="2"/>
        <v>0</v>
      </c>
      <c r="CJ35">
        <f t="shared" si="0"/>
        <v>0.55042879423806135</v>
      </c>
      <c r="CK35">
        <f t="shared" si="1"/>
        <v>0.65720005950518656</v>
      </c>
    </row>
    <row r="36" spans="1:89" x14ac:dyDescent="0.25">
      <c r="A36" t="s">
        <v>101</v>
      </c>
      <c r="B36">
        <v>1</v>
      </c>
      <c r="C36" s="1">
        <v>2</v>
      </c>
      <c r="D36" s="3">
        <v>1</v>
      </c>
      <c r="E36" s="3">
        <v>1</v>
      </c>
      <c r="F36" s="3">
        <v>3</v>
      </c>
      <c r="G36" s="3">
        <v>3</v>
      </c>
      <c r="AH36" t="s">
        <v>16</v>
      </c>
      <c r="AI36" t="s">
        <v>16</v>
      </c>
      <c r="AL36" t="s">
        <v>16</v>
      </c>
      <c r="AP36" t="s">
        <v>16</v>
      </c>
      <c r="AW36">
        <v>0</v>
      </c>
      <c r="AX36" t="s">
        <v>16</v>
      </c>
      <c r="AZ36" t="s">
        <v>16</v>
      </c>
      <c r="BB36" t="s">
        <v>16</v>
      </c>
      <c r="BD36" t="s">
        <v>16</v>
      </c>
      <c r="BF36">
        <v>0.425614891459762</v>
      </c>
      <c r="BH36" t="s">
        <v>16</v>
      </c>
      <c r="BK36" t="s">
        <v>16</v>
      </c>
      <c r="BL36" t="s">
        <v>16</v>
      </c>
      <c r="BN36" t="s">
        <v>16</v>
      </c>
      <c r="BP36" t="s">
        <v>16</v>
      </c>
      <c r="BS36">
        <v>1</v>
      </c>
      <c r="BT36" t="s">
        <v>16</v>
      </c>
      <c r="BV36">
        <v>0.92296998734911195</v>
      </c>
      <c r="BW36" t="s">
        <v>16</v>
      </c>
      <c r="BX36" t="s">
        <v>16</v>
      </c>
      <c r="BY36" t="s">
        <v>16</v>
      </c>
      <c r="CA36" t="s">
        <v>16</v>
      </c>
      <c r="CB36" t="s">
        <v>16</v>
      </c>
      <c r="CD36" t="s">
        <v>16</v>
      </c>
      <c r="CF36" t="s">
        <v>16</v>
      </c>
      <c r="CG36" t="s">
        <v>16</v>
      </c>
      <c r="CI36">
        <f t="shared" si="2"/>
        <v>0</v>
      </c>
      <c r="CJ36">
        <f t="shared" si="0"/>
        <v>0.47520496381992067</v>
      </c>
      <c r="CK36">
        <f t="shared" si="1"/>
        <v>0.92296998734911195</v>
      </c>
    </row>
    <row r="37" spans="1:89" x14ac:dyDescent="0.25">
      <c r="A37" t="s">
        <v>108</v>
      </c>
      <c r="B37">
        <v>1</v>
      </c>
      <c r="C37" s="1">
        <v>8</v>
      </c>
      <c r="D37" s="3">
        <v>3</v>
      </c>
      <c r="E37" s="3">
        <v>3</v>
      </c>
      <c r="F37" s="3">
        <v>3</v>
      </c>
      <c r="G37" s="3">
        <v>3</v>
      </c>
      <c r="AH37" t="s">
        <v>16</v>
      </c>
      <c r="AI37" t="s">
        <v>16</v>
      </c>
      <c r="AL37" t="s">
        <v>16</v>
      </c>
      <c r="AP37">
        <v>1</v>
      </c>
      <c r="AW37">
        <v>1</v>
      </c>
      <c r="AX37" t="s">
        <v>16</v>
      </c>
      <c r="AZ37" t="s">
        <v>16</v>
      </c>
      <c r="BB37" t="s">
        <v>16</v>
      </c>
      <c r="BD37" t="s">
        <v>16</v>
      </c>
      <c r="BF37">
        <v>0.60459172543789996</v>
      </c>
      <c r="BH37" t="s">
        <v>16</v>
      </c>
      <c r="BK37" t="s">
        <v>16</v>
      </c>
      <c r="BL37" t="s">
        <v>16</v>
      </c>
      <c r="BN37" t="s">
        <v>16</v>
      </c>
      <c r="BP37" t="s">
        <v>16</v>
      </c>
      <c r="BS37">
        <v>1</v>
      </c>
      <c r="BT37" t="s">
        <v>16</v>
      </c>
      <c r="BV37">
        <v>0.81978412537537604</v>
      </c>
      <c r="BW37">
        <v>0.56055555555555503</v>
      </c>
      <c r="BX37" t="s">
        <v>16</v>
      </c>
      <c r="BY37" t="s">
        <v>16</v>
      </c>
      <c r="CA37" t="s">
        <v>16</v>
      </c>
      <c r="CB37" t="s">
        <v>16</v>
      </c>
      <c r="CD37" t="s">
        <v>16</v>
      </c>
      <c r="CF37" t="s">
        <v>16</v>
      </c>
      <c r="CG37" t="s">
        <v>16</v>
      </c>
      <c r="CI37">
        <f t="shared" si="2"/>
        <v>0</v>
      </c>
      <c r="CJ37">
        <f t="shared" si="0"/>
        <v>0.90114793135947502</v>
      </c>
      <c r="CK37">
        <f t="shared" si="1"/>
        <v>0.69016984046546548</v>
      </c>
    </row>
    <row r="38" spans="1:89" x14ac:dyDescent="0.25">
      <c r="A38" t="s">
        <v>36</v>
      </c>
      <c r="B38">
        <v>4</v>
      </c>
      <c r="C38" s="1"/>
      <c r="D38" s="3"/>
      <c r="E38" s="3"/>
      <c r="F38" s="3"/>
      <c r="G38" s="3"/>
      <c r="AH38" t="s">
        <v>16</v>
      </c>
      <c r="AI38" t="s">
        <v>16</v>
      </c>
      <c r="AL38" t="s">
        <v>16</v>
      </c>
      <c r="AP38" t="s">
        <v>16</v>
      </c>
      <c r="AW38" t="s">
        <v>16</v>
      </c>
      <c r="AX38" t="s">
        <v>16</v>
      </c>
      <c r="AZ38" t="s">
        <v>16</v>
      </c>
      <c r="BB38" t="s">
        <v>16</v>
      </c>
      <c r="BD38" t="s">
        <v>16</v>
      </c>
      <c r="BF38" t="s">
        <v>16</v>
      </c>
      <c r="BH38" t="s">
        <v>16</v>
      </c>
      <c r="BK38" t="s">
        <v>16</v>
      </c>
      <c r="BL38" t="s">
        <v>16</v>
      </c>
      <c r="BN38" t="s">
        <v>16</v>
      </c>
      <c r="BP38" t="s">
        <v>16</v>
      </c>
      <c r="BS38" t="s">
        <v>16</v>
      </c>
      <c r="BT38" t="s">
        <v>16</v>
      </c>
      <c r="BV38" t="s">
        <v>16</v>
      </c>
      <c r="BW38" t="s">
        <v>16</v>
      </c>
      <c r="BX38" t="s">
        <v>16</v>
      </c>
      <c r="BY38" t="s">
        <v>16</v>
      </c>
      <c r="CA38" t="s">
        <v>16</v>
      </c>
      <c r="CB38" t="s">
        <v>16</v>
      </c>
      <c r="CD38" t="s">
        <v>16</v>
      </c>
      <c r="CF38" t="s">
        <v>16</v>
      </c>
      <c r="CG38" t="s">
        <v>16</v>
      </c>
      <c r="CI38">
        <f t="shared" si="2"/>
        <v>0</v>
      </c>
      <c r="CJ38">
        <f t="shared" si="0"/>
        <v>0</v>
      </c>
      <c r="CK38">
        <f t="shared" si="1"/>
        <v>0</v>
      </c>
    </row>
    <row r="39" spans="1:89" x14ac:dyDescent="0.25">
      <c r="A39" t="s">
        <v>84</v>
      </c>
      <c r="B39">
        <v>3</v>
      </c>
      <c r="C39" s="1"/>
      <c r="D39" s="3">
        <v>2</v>
      </c>
      <c r="E39" s="3">
        <v>2</v>
      </c>
      <c r="F39" s="3">
        <v>3</v>
      </c>
      <c r="G39" s="3">
        <v>3</v>
      </c>
      <c r="AH39" t="s">
        <v>16</v>
      </c>
      <c r="AI39" t="s">
        <v>16</v>
      </c>
      <c r="AL39" t="s">
        <v>16</v>
      </c>
      <c r="AP39" t="s">
        <v>16</v>
      </c>
      <c r="AW39" t="s">
        <v>16</v>
      </c>
      <c r="AX39" t="s">
        <v>16</v>
      </c>
      <c r="AZ39" t="s">
        <v>16</v>
      </c>
      <c r="BB39">
        <v>0.92</v>
      </c>
      <c r="BD39" t="s">
        <v>16</v>
      </c>
      <c r="BF39" t="s">
        <v>16</v>
      </c>
      <c r="BH39">
        <v>0.90540540540540504</v>
      </c>
      <c r="BK39" t="s">
        <v>16</v>
      </c>
      <c r="BL39" t="s">
        <v>16</v>
      </c>
      <c r="BN39">
        <v>0.95262503021546696</v>
      </c>
      <c r="BP39" t="s">
        <v>16</v>
      </c>
      <c r="BS39" t="s">
        <v>16</v>
      </c>
      <c r="BT39">
        <v>0.89830508474576198</v>
      </c>
      <c r="BV39" t="s">
        <v>16</v>
      </c>
      <c r="BW39" t="s">
        <v>16</v>
      </c>
      <c r="BX39" t="s">
        <v>16</v>
      </c>
      <c r="BY39" t="s">
        <v>16</v>
      </c>
      <c r="CA39" t="s">
        <v>16</v>
      </c>
      <c r="CB39">
        <v>0.26388888888888801</v>
      </c>
      <c r="CD39">
        <v>0.80555555555555503</v>
      </c>
      <c r="CF39" t="s">
        <v>16</v>
      </c>
      <c r="CG39" t="s">
        <v>16</v>
      </c>
      <c r="CI39">
        <f t="shared" si="2"/>
        <v>0.75863098691912201</v>
      </c>
      <c r="CJ39">
        <f t="shared" si="0"/>
        <v>0</v>
      </c>
      <c r="CK39">
        <f t="shared" si="1"/>
        <v>0.95262503021546696</v>
      </c>
    </row>
    <row r="40" spans="1:89" x14ac:dyDescent="0.25">
      <c r="A40" t="s">
        <v>24</v>
      </c>
      <c r="B40">
        <v>1</v>
      </c>
      <c r="C40" s="1">
        <v>9</v>
      </c>
      <c r="D40" s="3">
        <v>3</v>
      </c>
      <c r="E40" s="3">
        <v>3</v>
      </c>
      <c r="F40" s="3">
        <v>2</v>
      </c>
      <c r="G40" s="3">
        <v>3</v>
      </c>
      <c r="AH40" t="s">
        <v>16</v>
      </c>
      <c r="AI40" t="s">
        <v>16</v>
      </c>
      <c r="AL40" t="s">
        <v>16</v>
      </c>
      <c r="AP40">
        <v>0.80403305136815195</v>
      </c>
      <c r="AW40" t="s">
        <v>16</v>
      </c>
      <c r="AX40" t="s">
        <v>16</v>
      </c>
      <c r="AZ40" t="s">
        <v>16</v>
      </c>
      <c r="BB40" t="s">
        <v>16</v>
      </c>
      <c r="BD40" t="s">
        <v>16</v>
      </c>
      <c r="BF40">
        <v>0.80054681322980503</v>
      </c>
      <c r="BH40" t="s">
        <v>16</v>
      </c>
      <c r="BK40" t="s">
        <v>16</v>
      </c>
      <c r="BL40" t="s">
        <v>16</v>
      </c>
      <c r="BN40" t="s">
        <v>16</v>
      </c>
      <c r="BP40" t="s">
        <v>16</v>
      </c>
      <c r="BS40">
        <v>0.21109548169995901</v>
      </c>
      <c r="BT40" t="s">
        <v>16</v>
      </c>
      <c r="BV40">
        <v>0.96082753654066799</v>
      </c>
      <c r="BW40">
        <v>0.22249509803921499</v>
      </c>
      <c r="BX40" t="s">
        <v>16</v>
      </c>
      <c r="BY40" t="s">
        <v>16</v>
      </c>
      <c r="CA40" t="s">
        <v>16</v>
      </c>
      <c r="CB40" t="s">
        <v>16</v>
      </c>
      <c r="CD40" t="s">
        <v>16</v>
      </c>
      <c r="CF40" t="s">
        <v>16</v>
      </c>
      <c r="CG40" t="s">
        <v>16</v>
      </c>
      <c r="CI40">
        <f t="shared" si="2"/>
        <v>0</v>
      </c>
      <c r="CJ40">
        <f t="shared" si="0"/>
        <v>0.60522511543263868</v>
      </c>
      <c r="CK40">
        <f t="shared" si="1"/>
        <v>0.59166131728994154</v>
      </c>
    </row>
    <row r="41" spans="1:89" x14ac:dyDescent="0.25">
      <c r="A41" t="s">
        <v>79</v>
      </c>
      <c r="B41" t="s">
        <v>70</v>
      </c>
      <c r="C41" s="1">
        <v>2</v>
      </c>
      <c r="D41" s="3">
        <v>2</v>
      </c>
      <c r="E41" s="3">
        <v>1</v>
      </c>
      <c r="F41" s="3">
        <v>2</v>
      </c>
      <c r="G41" s="3">
        <v>1</v>
      </c>
      <c r="AH41" t="s">
        <v>16</v>
      </c>
      <c r="AI41">
        <v>0.76299427498609695</v>
      </c>
      <c r="AL41">
        <v>1</v>
      </c>
      <c r="AP41" t="s">
        <v>16</v>
      </c>
      <c r="AW41" t="s">
        <v>16</v>
      </c>
      <c r="AX41" t="s">
        <v>16</v>
      </c>
      <c r="AZ41" t="s">
        <v>16</v>
      </c>
      <c r="BB41" t="s">
        <v>16</v>
      </c>
      <c r="BD41">
        <v>0.79710144927536197</v>
      </c>
      <c r="BF41">
        <v>0.21976412735134601</v>
      </c>
      <c r="BH41" t="s">
        <v>16</v>
      </c>
      <c r="BK41">
        <v>1</v>
      </c>
      <c r="BL41">
        <v>0.729842637008288</v>
      </c>
      <c r="BN41">
        <v>0.68668714285714205</v>
      </c>
      <c r="BP41">
        <v>0.64457831325301196</v>
      </c>
      <c r="BS41">
        <v>0.80054681322980503</v>
      </c>
      <c r="BT41" t="s">
        <v>16</v>
      </c>
      <c r="BV41" t="s">
        <v>16</v>
      </c>
      <c r="BW41" t="s">
        <v>16</v>
      </c>
      <c r="BX41">
        <v>0.57886111111111105</v>
      </c>
      <c r="BY41" t="s">
        <v>16</v>
      </c>
      <c r="CA41">
        <v>0.98364125617918396</v>
      </c>
      <c r="CB41" t="s">
        <v>16</v>
      </c>
      <c r="CD41" t="s">
        <v>16</v>
      </c>
      <c r="CF41" t="s">
        <v>16</v>
      </c>
      <c r="CG41">
        <v>0.57142857142857095</v>
      </c>
      <c r="CI41">
        <f t="shared" si="2"/>
        <v>0.6940256522357604</v>
      </c>
      <c r="CJ41">
        <f t="shared" si="0"/>
        <v>0.67343698019371701</v>
      </c>
      <c r="CK41">
        <f t="shared" si="1"/>
        <v>0.79580642943114499</v>
      </c>
    </row>
    <row r="42" spans="1:89" x14ac:dyDescent="0.25">
      <c r="A42" t="s">
        <v>129</v>
      </c>
      <c r="B42">
        <v>3</v>
      </c>
      <c r="C42" s="1"/>
      <c r="D42" s="3">
        <v>2</v>
      </c>
      <c r="E42" s="3">
        <v>3</v>
      </c>
      <c r="F42" s="3">
        <v>1</v>
      </c>
      <c r="G42" s="3">
        <v>2</v>
      </c>
      <c r="AH42" t="s">
        <v>16</v>
      </c>
      <c r="AI42" t="s">
        <v>16</v>
      </c>
      <c r="AL42" t="s">
        <v>16</v>
      </c>
      <c r="AP42" t="s">
        <v>16</v>
      </c>
      <c r="AW42" t="s">
        <v>16</v>
      </c>
      <c r="AX42" t="s">
        <v>16</v>
      </c>
      <c r="AZ42">
        <v>0.95614035087719296</v>
      </c>
      <c r="BB42">
        <v>0.97315436241610698</v>
      </c>
      <c r="BD42" t="s">
        <v>16</v>
      </c>
      <c r="BF42" t="s">
        <v>16</v>
      </c>
      <c r="BH42">
        <v>0.72727272727272696</v>
      </c>
      <c r="BK42" t="s">
        <v>16</v>
      </c>
      <c r="BL42" t="s">
        <v>16</v>
      </c>
      <c r="BN42" t="s">
        <v>16</v>
      </c>
      <c r="BP42" t="s">
        <v>16</v>
      </c>
      <c r="BS42" t="s">
        <v>16</v>
      </c>
      <c r="BT42">
        <v>0.818965517241379</v>
      </c>
      <c r="BV42" t="s">
        <v>16</v>
      </c>
      <c r="BW42" t="s">
        <v>16</v>
      </c>
      <c r="BX42" t="s">
        <v>16</v>
      </c>
      <c r="BY42" t="s">
        <v>16</v>
      </c>
      <c r="CA42" t="s">
        <v>16</v>
      </c>
      <c r="CB42">
        <v>5.9880239520958001E-2</v>
      </c>
      <c r="CD42">
        <v>0.27619047619047599</v>
      </c>
      <c r="CF42" t="s">
        <v>16</v>
      </c>
      <c r="CG42" t="s">
        <v>16</v>
      </c>
      <c r="CI42">
        <f t="shared" si="2"/>
        <v>0.63526727891980672</v>
      </c>
      <c r="CJ42">
        <f t="shared" si="0"/>
        <v>0</v>
      </c>
      <c r="CK42">
        <f t="shared" si="1"/>
        <v>0</v>
      </c>
    </row>
    <row r="43" spans="1:89" x14ac:dyDescent="0.25">
      <c r="A43" t="s">
        <v>19</v>
      </c>
      <c r="B43">
        <v>3</v>
      </c>
      <c r="C43" s="1"/>
      <c r="D43" s="3">
        <v>2</v>
      </c>
      <c r="E43" s="3">
        <v>3</v>
      </c>
      <c r="F43" s="3">
        <v>2</v>
      </c>
      <c r="G43" s="3">
        <v>3</v>
      </c>
      <c r="AH43" t="s">
        <v>16</v>
      </c>
      <c r="AI43" t="s">
        <v>16</v>
      </c>
      <c r="AL43" t="s">
        <v>16</v>
      </c>
      <c r="AP43" t="s">
        <v>16</v>
      </c>
      <c r="AW43" t="s">
        <v>16</v>
      </c>
      <c r="AX43" t="s">
        <v>16</v>
      </c>
      <c r="AZ43">
        <v>0.86144578313252995</v>
      </c>
      <c r="BB43">
        <v>0.86206896551724099</v>
      </c>
      <c r="BD43" t="s">
        <v>16</v>
      </c>
      <c r="BF43" t="s">
        <v>16</v>
      </c>
      <c r="BH43">
        <v>0.72307692307692295</v>
      </c>
      <c r="BK43" t="s">
        <v>16</v>
      </c>
      <c r="BL43" t="s">
        <v>16</v>
      </c>
      <c r="BN43">
        <v>0.92188269455294902</v>
      </c>
      <c r="BP43" t="s">
        <v>16</v>
      </c>
      <c r="BS43" t="s">
        <v>16</v>
      </c>
      <c r="BT43">
        <v>1</v>
      </c>
      <c r="BV43" t="s">
        <v>16</v>
      </c>
      <c r="BW43" t="s">
        <v>16</v>
      </c>
      <c r="BX43" t="s">
        <v>16</v>
      </c>
      <c r="BY43" t="s">
        <v>16</v>
      </c>
      <c r="CA43" t="s">
        <v>16</v>
      </c>
      <c r="CB43">
        <v>0.8</v>
      </c>
      <c r="CD43">
        <v>0.84</v>
      </c>
      <c r="CF43" t="s">
        <v>16</v>
      </c>
      <c r="CG43" t="s">
        <v>16</v>
      </c>
      <c r="CI43">
        <f t="shared" si="2"/>
        <v>0.84776527862111573</v>
      </c>
      <c r="CJ43">
        <f t="shared" si="0"/>
        <v>0</v>
      </c>
      <c r="CK43">
        <f t="shared" si="1"/>
        <v>0.92188269455294902</v>
      </c>
    </row>
    <row r="44" spans="1:89" x14ac:dyDescent="0.25">
      <c r="A44" t="s">
        <v>46</v>
      </c>
      <c r="B44" t="s">
        <v>70</v>
      </c>
      <c r="C44" s="1">
        <v>5</v>
      </c>
      <c r="D44" s="3">
        <v>2</v>
      </c>
      <c r="E44" s="3">
        <v>2</v>
      </c>
      <c r="F44" s="3">
        <v>3</v>
      </c>
      <c r="G44" s="3">
        <v>3</v>
      </c>
      <c r="AH44">
        <v>0.94736842105263097</v>
      </c>
      <c r="AI44">
        <v>0.94804895325622096</v>
      </c>
      <c r="AL44">
        <v>0.40082134264727198</v>
      </c>
      <c r="AP44" t="s">
        <v>16</v>
      </c>
      <c r="AW44">
        <v>0</v>
      </c>
      <c r="AX44">
        <v>0</v>
      </c>
      <c r="AZ44" t="s">
        <v>16</v>
      </c>
      <c r="BB44" t="s">
        <v>16</v>
      </c>
      <c r="BD44">
        <v>0.82291666666666596</v>
      </c>
      <c r="BF44">
        <v>0.54630261776852895</v>
      </c>
      <c r="BH44" t="s">
        <v>16</v>
      </c>
      <c r="BK44">
        <v>0.99691266678744395</v>
      </c>
      <c r="BL44">
        <v>0.97078508385920703</v>
      </c>
      <c r="BN44">
        <v>0.55825357142857102</v>
      </c>
      <c r="BP44">
        <v>0.83072773564132696</v>
      </c>
      <c r="BS44">
        <v>1</v>
      </c>
      <c r="BT44" t="s">
        <v>16</v>
      </c>
      <c r="BV44" t="s">
        <v>16</v>
      </c>
      <c r="BW44" t="s">
        <v>16</v>
      </c>
      <c r="BX44">
        <v>0.77253106060606003</v>
      </c>
      <c r="BY44" t="s">
        <v>16</v>
      </c>
      <c r="CA44">
        <v>0.89559042800682698</v>
      </c>
      <c r="CB44" t="s">
        <v>16</v>
      </c>
      <c r="CD44" t="s">
        <v>16</v>
      </c>
      <c r="CF44" t="s">
        <v>16</v>
      </c>
      <c r="CG44">
        <v>1</v>
      </c>
      <c r="CI44">
        <f t="shared" si="2"/>
        <v>0.90981235532336913</v>
      </c>
      <c r="CJ44">
        <f t="shared" si="0"/>
        <v>0.38942479208316022</v>
      </c>
      <c r="CK44">
        <f t="shared" si="1"/>
        <v>0.83881456213762173</v>
      </c>
    </row>
    <row r="45" spans="1:89" x14ac:dyDescent="0.25">
      <c r="A45" t="s">
        <v>18</v>
      </c>
      <c r="B45">
        <v>1</v>
      </c>
      <c r="C45" s="1">
        <v>10</v>
      </c>
      <c r="D45" s="3">
        <v>1</v>
      </c>
      <c r="E45" s="3">
        <v>2</v>
      </c>
      <c r="F45" s="3">
        <v>3</v>
      </c>
      <c r="G45" s="3">
        <v>3</v>
      </c>
      <c r="AH45" t="s">
        <v>16</v>
      </c>
      <c r="AI45" t="s">
        <v>16</v>
      </c>
      <c r="AL45" t="s">
        <v>16</v>
      </c>
      <c r="AP45" t="s">
        <v>16</v>
      </c>
      <c r="AW45" t="s">
        <v>16</v>
      </c>
      <c r="AX45" t="s">
        <v>16</v>
      </c>
      <c r="AZ45" t="s">
        <v>16</v>
      </c>
      <c r="BB45" t="s">
        <v>16</v>
      </c>
      <c r="BD45" t="s">
        <v>16</v>
      </c>
      <c r="BF45">
        <v>0.89394181204900802</v>
      </c>
      <c r="BH45" t="s">
        <v>16</v>
      </c>
      <c r="BK45" t="s">
        <v>16</v>
      </c>
      <c r="BL45" t="s">
        <v>16</v>
      </c>
      <c r="BN45" t="s">
        <v>16</v>
      </c>
      <c r="BP45" t="s">
        <v>16</v>
      </c>
      <c r="BS45">
        <v>0.118002654440472</v>
      </c>
      <c r="BT45" t="s">
        <v>16</v>
      </c>
      <c r="BV45">
        <v>0.92885561314056397</v>
      </c>
      <c r="BW45">
        <v>0.56244553571428502</v>
      </c>
      <c r="BX45" t="s">
        <v>16</v>
      </c>
      <c r="BY45" t="s">
        <v>16</v>
      </c>
      <c r="CA45" t="s">
        <v>16</v>
      </c>
      <c r="CB45" t="s">
        <v>16</v>
      </c>
      <c r="CD45" t="s">
        <v>16</v>
      </c>
      <c r="CF45" t="s">
        <v>16</v>
      </c>
      <c r="CG45" t="s">
        <v>16</v>
      </c>
      <c r="CI45">
        <f t="shared" si="2"/>
        <v>0</v>
      </c>
      <c r="CJ45">
        <f t="shared" si="0"/>
        <v>0.50597223324474006</v>
      </c>
      <c r="CK45">
        <f t="shared" si="1"/>
        <v>0.74565057442742444</v>
      </c>
    </row>
    <row r="46" spans="1:89" x14ac:dyDescent="0.25">
      <c r="A46" t="s">
        <v>52</v>
      </c>
      <c r="B46" t="s">
        <v>55</v>
      </c>
      <c r="C46" s="1">
        <v>9</v>
      </c>
      <c r="D46" s="3">
        <v>3</v>
      </c>
      <c r="E46" s="3">
        <v>3</v>
      </c>
      <c r="F46" s="3">
        <v>3</v>
      </c>
      <c r="G46" s="3">
        <v>3</v>
      </c>
      <c r="AH46">
        <v>0.93212669683257898</v>
      </c>
      <c r="AI46">
        <v>0.96820233443048298</v>
      </c>
      <c r="AL46">
        <v>1</v>
      </c>
      <c r="AP46" t="s">
        <v>16</v>
      </c>
      <c r="AW46">
        <v>6.2700754981877702E-2</v>
      </c>
      <c r="AX46">
        <v>1</v>
      </c>
      <c r="AZ46" t="s">
        <v>16</v>
      </c>
      <c r="BB46" t="s">
        <v>16</v>
      </c>
      <c r="BD46">
        <v>0.81034482758620596</v>
      </c>
      <c r="BF46" t="s">
        <v>16</v>
      </c>
      <c r="BH46" t="s">
        <v>16</v>
      </c>
      <c r="BK46" t="s">
        <v>16</v>
      </c>
      <c r="BL46" t="s">
        <v>16</v>
      </c>
      <c r="BN46">
        <v>0.89702679037412303</v>
      </c>
      <c r="BP46">
        <v>0.92090395480225895</v>
      </c>
      <c r="BS46">
        <v>0.21109548169995901</v>
      </c>
      <c r="BT46" t="s">
        <v>16</v>
      </c>
      <c r="BV46" t="s">
        <v>16</v>
      </c>
      <c r="BW46">
        <v>0.97821694604099096</v>
      </c>
      <c r="BX46" t="s">
        <v>16</v>
      </c>
      <c r="BY46">
        <v>0.9375</v>
      </c>
      <c r="CA46" t="s">
        <v>16</v>
      </c>
      <c r="CB46" t="s">
        <v>16</v>
      </c>
      <c r="CD46" t="s">
        <v>16</v>
      </c>
      <c r="CF46">
        <v>0.99491068275511496</v>
      </c>
      <c r="CG46" t="s">
        <v>16</v>
      </c>
      <c r="CI46">
        <f t="shared" si="2"/>
        <v>0.91381556273030529</v>
      </c>
      <c r="CJ46">
        <f t="shared" si="0"/>
        <v>0.56844905917045918</v>
      </c>
      <c r="CK46">
        <f t="shared" si="1"/>
        <v>0.95671813972340969</v>
      </c>
    </row>
    <row r="47" spans="1:89" x14ac:dyDescent="0.25">
      <c r="A47" t="s">
        <v>75</v>
      </c>
      <c r="B47" t="s">
        <v>70</v>
      </c>
      <c r="C47" s="1">
        <v>5</v>
      </c>
      <c r="D47" s="3">
        <v>2</v>
      </c>
      <c r="E47" s="3">
        <v>2</v>
      </c>
      <c r="F47" s="3">
        <v>2</v>
      </c>
      <c r="G47" s="3">
        <v>3</v>
      </c>
      <c r="AH47">
        <v>0.98518518518518505</v>
      </c>
      <c r="AI47">
        <v>0.93081761006289299</v>
      </c>
      <c r="AL47">
        <v>1</v>
      </c>
      <c r="AP47" t="s">
        <v>16</v>
      </c>
      <c r="AW47">
        <v>0</v>
      </c>
      <c r="AX47">
        <v>0</v>
      </c>
      <c r="AZ47" t="s">
        <v>16</v>
      </c>
      <c r="BB47" t="s">
        <v>16</v>
      </c>
      <c r="BD47">
        <v>0.66666666666666596</v>
      </c>
      <c r="BF47">
        <v>0.63042706109387203</v>
      </c>
      <c r="BH47" t="s">
        <v>16</v>
      </c>
      <c r="BK47" t="s">
        <v>16</v>
      </c>
      <c r="BL47">
        <v>0.90523693890095402</v>
      </c>
      <c r="BN47">
        <v>0.62617962962962903</v>
      </c>
      <c r="BP47">
        <v>0.90361445783132499</v>
      </c>
      <c r="BS47" t="s">
        <v>16</v>
      </c>
      <c r="BT47" t="s">
        <v>16</v>
      </c>
      <c r="BV47" t="s">
        <v>16</v>
      </c>
      <c r="BW47" t="s">
        <v>16</v>
      </c>
      <c r="BX47" t="s">
        <v>16</v>
      </c>
      <c r="BY47" t="s">
        <v>16</v>
      </c>
      <c r="CA47" t="s">
        <v>16</v>
      </c>
      <c r="CB47">
        <v>1</v>
      </c>
      <c r="CD47" t="s">
        <v>16</v>
      </c>
      <c r="CF47" t="s">
        <v>16</v>
      </c>
      <c r="CG47">
        <v>0.88235294117647001</v>
      </c>
      <c r="CI47">
        <f t="shared" si="2"/>
        <v>0.89477281015375654</v>
      </c>
      <c r="CJ47">
        <f t="shared" si="0"/>
        <v>0.40760676527346801</v>
      </c>
      <c r="CK47">
        <f t="shared" si="1"/>
        <v>0.76570828426529158</v>
      </c>
    </row>
    <row r="48" spans="1:89" x14ac:dyDescent="0.25">
      <c r="A48" t="s">
        <v>69</v>
      </c>
      <c r="B48" t="s">
        <v>55</v>
      </c>
      <c r="C48" s="1">
        <v>6</v>
      </c>
      <c r="D48" s="3">
        <v>2</v>
      </c>
      <c r="E48" s="3">
        <v>2</v>
      </c>
      <c r="F48" s="3">
        <v>2</v>
      </c>
      <c r="G48" s="3">
        <v>2</v>
      </c>
      <c r="AH48">
        <v>0.92763157894736803</v>
      </c>
      <c r="AI48">
        <v>0.910350873748898</v>
      </c>
      <c r="AL48">
        <v>0.113454186646611</v>
      </c>
      <c r="AP48" t="s">
        <v>16</v>
      </c>
      <c r="AW48">
        <v>0</v>
      </c>
      <c r="AX48">
        <v>0</v>
      </c>
      <c r="AZ48" t="s">
        <v>16</v>
      </c>
      <c r="BB48" t="s">
        <v>16</v>
      </c>
      <c r="BD48" t="s">
        <v>16</v>
      </c>
      <c r="BF48">
        <v>0.21109548169995901</v>
      </c>
      <c r="BH48" t="s">
        <v>16</v>
      </c>
      <c r="BK48" t="s">
        <v>16</v>
      </c>
      <c r="BL48" t="s">
        <v>16</v>
      </c>
      <c r="BN48">
        <v>0.96515086839981601</v>
      </c>
      <c r="BP48">
        <v>0.92647058823529405</v>
      </c>
      <c r="BS48">
        <v>1</v>
      </c>
      <c r="BT48" t="s">
        <v>16</v>
      </c>
      <c r="BV48" t="s">
        <v>16</v>
      </c>
      <c r="BW48">
        <v>0.94961150389585602</v>
      </c>
      <c r="BX48" t="s">
        <v>16</v>
      </c>
      <c r="BY48">
        <v>1</v>
      </c>
      <c r="CA48" t="s">
        <v>16</v>
      </c>
      <c r="CB48" t="s">
        <v>16</v>
      </c>
      <c r="CD48" t="s">
        <v>16</v>
      </c>
      <c r="CF48">
        <v>0.99559332405233003</v>
      </c>
      <c r="CG48" t="s">
        <v>16</v>
      </c>
      <c r="CI48">
        <f t="shared" si="2"/>
        <v>0.94111326023288999</v>
      </c>
      <c r="CJ48">
        <f t="shared" si="0"/>
        <v>0.26490993366931403</v>
      </c>
      <c r="CK48">
        <f t="shared" si="1"/>
        <v>0.97011856544933417</v>
      </c>
    </row>
    <row r="49" spans="1:89" x14ac:dyDescent="0.25">
      <c r="A49" t="s">
        <v>63</v>
      </c>
      <c r="B49" t="s">
        <v>55</v>
      </c>
      <c r="C49" s="1">
        <v>9</v>
      </c>
      <c r="D49" s="3">
        <v>2</v>
      </c>
      <c r="E49" s="3">
        <v>2</v>
      </c>
      <c r="F49" s="3">
        <v>2</v>
      </c>
      <c r="G49" s="3">
        <v>2</v>
      </c>
      <c r="AH49">
        <v>0.93614370640686295</v>
      </c>
      <c r="AI49">
        <v>0.985611510791366</v>
      </c>
      <c r="AL49">
        <v>1</v>
      </c>
      <c r="AP49" t="s">
        <v>16</v>
      </c>
      <c r="AW49">
        <v>0</v>
      </c>
      <c r="AX49">
        <v>0</v>
      </c>
      <c r="AZ49" t="s">
        <v>16</v>
      </c>
      <c r="BB49" t="s">
        <v>16</v>
      </c>
      <c r="BD49">
        <v>0.947712418300653</v>
      </c>
      <c r="BF49">
        <v>0.65193948903601595</v>
      </c>
      <c r="BH49" t="s">
        <v>16</v>
      </c>
      <c r="BK49" t="s">
        <v>16</v>
      </c>
      <c r="BL49" t="s">
        <v>16</v>
      </c>
      <c r="BN49" t="s">
        <v>16</v>
      </c>
      <c r="BP49">
        <v>1</v>
      </c>
      <c r="BS49" t="s">
        <v>16</v>
      </c>
      <c r="BT49" t="s">
        <v>16</v>
      </c>
      <c r="BV49" t="s">
        <v>16</v>
      </c>
      <c r="BW49">
        <v>0.93548149030113903</v>
      </c>
      <c r="BX49" t="s">
        <v>16</v>
      </c>
      <c r="BY49">
        <v>0.92592592592592504</v>
      </c>
      <c r="CA49" t="s">
        <v>16</v>
      </c>
      <c r="CB49" t="s">
        <v>16</v>
      </c>
      <c r="CD49" t="s">
        <v>16</v>
      </c>
      <c r="CF49">
        <v>0.99960574483005904</v>
      </c>
      <c r="CG49" t="s">
        <v>16</v>
      </c>
      <c r="CI49">
        <f t="shared" si="2"/>
        <v>0.95907871228496133</v>
      </c>
      <c r="CJ49">
        <f t="shared" si="0"/>
        <v>0.41298487225900399</v>
      </c>
      <c r="CK49">
        <f t="shared" si="1"/>
        <v>0.96754361756559903</v>
      </c>
    </row>
    <row r="50" spans="1:89" x14ac:dyDescent="0.25">
      <c r="A50" t="s">
        <v>50</v>
      </c>
      <c r="B50">
        <v>3</v>
      </c>
      <c r="C50" s="1"/>
      <c r="D50" s="3">
        <v>2</v>
      </c>
      <c r="E50" s="3">
        <v>2</v>
      </c>
      <c r="F50" s="3">
        <v>2</v>
      </c>
      <c r="G50" s="3">
        <v>2</v>
      </c>
      <c r="AH50" t="s">
        <v>16</v>
      </c>
      <c r="AI50" t="s">
        <v>16</v>
      </c>
      <c r="AL50" t="s">
        <v>16</v>
      </c>
      <c r="AP50" t="s">
        <v>16</v>
      </c>
      <c r="AW50" t="s">
        <v>16</v>
      </c>
      <c r="AX50" t="s">
        <v>16</v>
      </c>
      <c r="AZ50">
        <v>0.42666666666666597</v>
      </c>
      <c r="BB50">
        <v>0.231884057971014</v>
      </c>
      <c r="BD50" t="s">
        <v>16</v>
      </c>
      <c r="BF50" t="s">
        <v>16</v>
      </c>
      <c r="BH50">
        <v>0.60919540229885005</v>
      </c>
      <c r="BK50" t="s">
        <v>16</v>
      </c>
      <c r="BL50" t="s">
        <v>16</v>
      </c>
      <c r="BN50">
        <v>0.94723606904494995</v>
      </c>
      <c r="BP50" t="s">
        <v>16</v>
      </c>
      <c r="BS50" t="s">
        <v>16</v>
      </c>
      <c r="BT50">
        <v>0.56410256410256399</v>
      </c>
      <c r="BV50" t="s">
        <v>16</v>
      </c>
      <c r="BW50" t="s">
        <v>16</v>
      </c>
      <c r="BX50" t="s">
        <v>16</v>
      </c>
      <c r="BY50" t="s">
        <v>16</v>
      </c>
      <c r="CA50" t="s">
        <v>16</v>
      </c>
      <c r="CB50">
        <v>6.9230769230769207E-2</v>
      </c>
      <c r="CD50">
        <v>9.3220338983050793E-2</v>
      </c>
      <c r="CF50" t="s">
        <v>16</v>
      </c>
      <c r="CG50" t="s">
        <v>16</v>
      </c>
      <c r="CI50">
        <f t="shared" si="2"/>
        <v>0.33238329987548565</v>
      </c>
      <c r="CJ50">
        <f t="shared" si="0"/>
        <v>0</v>
      </c>
      <c r="CK50">
        <f t="shared" si="1"/>
        <v>0.94723606904494995</v>
      </c>
    </row>
    <row r="51" spans="1:89" x14ac:dyDescent="0.25">
      <c r="A51" t="s">
        <v>58</v>
      </c>
      <c r="B51" t="s">
        <v>55</v>
      </c>
      <c r="C51" s="1">
        <v>8</v>
      </c>
      <c r="D51" s="3">
        <v>2</v>
      </c>
      <c r="E51" s="3">
        <v>2</v>
      </c>
      <c r="F51" s="3">
        <v>2</v>
      </c>
      <c r="G51" s="3">
        <v>2</v>
      </c>
      <c r="AH51">
        <v>0.71794871794871795</v>
      </c>
      <c r="AI51">
        <v>0.95384615384615301</v>
      </c>
      <c r="AL51" t="s">
        <v>16</v>
      </c>
      <c r="AP51" t="s">
        <v>16</v>
      </c>
      <c r="AW51" t="s">
        <v>16</v>
      </c>
      <c r="AX51">
        <v>0.30842154040731401</v>
      </c>
      <c r="AZ51" t="s">
        <v>16</v>
      </c>
      <c r="BB51" t="s">
        <v>16</v>
      </c>
      <c r="BD51">
        <v>0.81481481481481399</v>
      </c>
      <c r="BF51">
        <v>5.6125013396483202E-2</v>
      </c>
      <c r="BH51" t="s">
        <v>16</v>
      </c>
      <c r="BK51" t="s">
        <v>16</v>
      </c>
      <c r="BL51" t="s">
        <v>16</v>
      </c>
      <c r="BN51">
        <v>0.88482361019448996</v>
      </c>
      <c r="BP51">
        <v>0.95522388059701402</v>
      </c>
      <c r="BS51">
        <v>0</v>
      </c>
      <c r="BT51" t="s">
        <v>16</v>
      </c>
      <c r="BV51" t="s">
        <v>16</v>
      </c>
      <c r="BW51">
        <v>0.98077744918574195</v>
      </c>
      <c r="BX51" t="s">
        <v>16</v>
      </c>
      <c r="BY51">
        <v>0.90909090909090895</v>
      </c>
      <c r="CA51" t="s">
        <v>16</v>
      </c>
      <c r="CB51" t="s">
        <v>16</v>
      </c>
      <c r="CD51" t="s">
        <v>16</v>
      </c>
      <c r="CF51">
        <v>0.99857070015856497</v>
      </c>
      <c r="CG51" t="s">
        <v>16</v>
      </c>
      <c r="CI51">
        <f t="shared" si="2"/>
        <v>0.87018489525952147</v>
      </c>
      <c r="CJ51">
        <f t="shared" si="0"/>
        <v>0.12151551793459907</v>
      </c>
      <c r="CK51">
        <f t="shared" si="1"/>
        <v>0.9547239198462657</v>
      </c>
    </row>
    <row r="52" spans="1:89" x14ac:dyDescent="0.25">
      <c r="A52" t="s">
        <v>39</v>
      </c>
      <c r="B52" t="s">
        <v>70</v>
      </c>
      <c r="C52" s="1">
        <v>9</v>
      </c>
      <c r="D52" s="3">
        <v>2</v>
      </c>
      <c r="E52" s="3">
        <v>2</v>
      </c>
      <c r="F52" s="3">
        <v>2</v>
      </c>
      <c r="G52" s="3">
        <v>3</v>
      </c>
      <c r="AH52">
        <v>0.95138888888888795</v>
      </c>
      <c r="AI52">
        <v>0.987341772151898</v>
      </c>
      <c r="AL52">
        <v>1</v>
      </c>
      <c r="AP52" t="s">
        <v>16</v>
      </c>
      <c r="AW52">
        <v>0</v>
      </c>
      <c r="AX52">
        <v>0</v>
      </c>
      <c r="AZ52" t="s">
        <v>16</v>
      </c>
      <c r="BB52" t="s">
        <v>16</v>
      </c>
      <c r="BD52">
        <v>0.88429752066115697</v>
      </c>
      <c r="BF52" t="s">
        <v>16</v>
      </c>
      <c r="BH52" t="s">
        <v>16</v>
      </c>
      <c r="BK52" t="s">
        <v>16</v>
      </c>
      <c r="BL52">
        <v>0.859645636269881</v>
      </c>
      <c r="BN52">
        <v>0.88812076325001998</v>
      </c>
      <c r="BP52">
        <v>0.95945945945945899</v>
      </c>
      <c r="BS52">
        <v>1</v>
      </c>
      <c r="BT52" t="s">
        <v>16</v>
      </c>
      <c r="BV52" t="s">
        <v>16</v>
      </c>
      <c r="BW52" t="s">
        <v>16</v>
      </c>
      <c r="BX52">
        <v>0.57958055555555499</v>
      </c>
      <c r="BY52" t="s">
        <v>16</v>
      </c>
      <c r="CA52">
        <v>0.90676918993535605</v>
      </c>
      <c r="CB52" t="s">
        <v>16</v>
      </c>
      <c r="CD52" t="s">
        <v>16</v>
      </c>
      <c r="CF52" t="s">
        <v>16</v>
      </c>
      <c r="CG52">
        <v>1</v>
      </c>
      <c r="CI52">
        <f t="shared" si="2"/>
        <v>0.95649752823228018</v>
      </c>
      <c r="CJ52">
        <f t="shared" si="0"/>
        <v>0.5</v>
      </c>
      <c r="CK52">
        <f t="shared" si="1"/>
        <v>0.808529036252703</v>
      </c>
    </row>
    <row r="53" spans="1:89" x14ac:dyDescent="0.25">
      <c r="A53" t="s">
        <v>65</v>
      </c>
      <c r="B53" t="s">
        <v>55</v>
      </c>
      <c r="C53" s="1">
        <v>10</v>
      </c>
      <c r="D53" s="3">
        <v>2</v>
      </c>
      <c r="E53" s="3">
        <v>3</v>
      </c>
      <c r="F53" s="3">
        <v>3</v>
      </c>
      <c r="G53" s="3">
        <v>3</v>
      </c>
      <c r="AH53">
        <v>0.96214268689057303</v>
      </c>
      <c r="AI53">
        <v>0.7</v>
      </c>
      <c r="AL53">
        <v>0.74641080802937698</v>
      </c>
      <c r="AP53" t="s">
        <v>16</v>
      </c>
      <c r="AW53">
        <v>0</v>
      </c>
      <c r="AX53" t="s">
        <v>16</v>
      </c>
      <c r="AZ53" t="s">
        <v>16</v>
      </c>
      <c r="BB53" t="s">
        <v>16</v>
      </c>
      <c r="BD53">
        <v>0.837209302325581</v>
      </c>
      <c r="BF53">
        <v>1</v>
      </c>
      <c r="BH53" t="s">
        <v>16</v>
      </c>
      <c r="BK53" t="s">
        <v>16</v>
      </c>
      <c r="BL53" t="s">
        <v>16</v>
      </c>
      <c r="BN53">
        <v>0.77044964498868496</v>
      </c>
      <c r="BP53">
        <v>0.63970588235294101</v>
      </c>
      <c r="BS53">
        <v>1</v>
      </c>
      <c r="BT53" t="s">
        <v>16</v>
      </c>
      <c r="BV53" t="s">
        <v>16</v>
      </c>
      <c r="BW53">
        <v>0.95350567408004006</v>
      </c>
      <c r="BX53" t="s">
        <v>16</v>
      </c>
      <c r="BY53">
        <v>0.88235294117647001</v>
      </c>
      <c r="CA53" t="s">
        <v>16</v>
      </c>
      <c r="CB53" t="s">
        <v>16</v>
      </c>
      <c r="CD53" t="s">
        <v>16</v>
      </c>
      <c r="CF53">
        <v>0.99872443503584996</v>
      </c>
      <c r="CG53" t="s">
        <v>16</v>
      </c>
      <c r="CI53">
        <f t="shared" si="2"/>
        <v>0.80428216254911289</v>
      </c>
      <c r="CJ53">
        <f t="shared" si="0"/>
        <v>0.68660270200734419</v>
      </c>
      <c r="CK53">
        <f t="shared" si="1"/>
        <v>0.90755991803485825</v>
      </c>
    </row>
    <row r="54" spans="1:89" x14ac:dyDescent="0.25">
      <c r="A54" t="s">
        <v>67</v>
      </c>
      <c r="B54" t="s">
        <v>55</v>
      </c>
      <c r="C54" s="1">
        <v>8</v>
      </c>
      <c r="D54" s="3">
        <v>2</v>
      </c>
      <c r="E54" s="3">
        <v>2</v>
      </c>
      <c r="F54" s="3">
        <v>2</v>
      </c>
      <c r="G54" s="3">
        <v>2</v>
      </c>
      <c r="AH54">
        <v>0.76984126984126899</v>
      </c>
      <c r="AI54">
        <v>0.90099009900990101</v>
      </c>
      <c r="AL54">
        <v>0.72795076343986598</v>
      </c>
      <c r="AP54" t="s">
        <v>16</v>
      </c>
      <c r="AW54" t="s">
        <v>16</v>
      </c>
      <c r="AX54">
        <v>0</v>
      </c>
      <c r="AZ54" t="s">
        <v>16</v>
      </c>
      <c r="BB54" t="s">
        <v>16</v>
      </c>
      <c r="BD54">
        <v>0.65476190476190399</v>
      </c>
      <c r="BF54">
        <v>0.62889795802401105</v>
      </c>
      <c r="BH54" t="s">
        <v>16</v>
      </c>
      <c r="BK54" t="s">
        <v>16</v>
      </c>
      <c r="BL54" t="s">
        <v>16</v>
      </c>
      <c r="BN54" t="s">
        <v>16</v>
      </c>
      <c r="BP54">
        <v>0.77941176470588203</v>
      </c>
      <c r="BS54">
        <v>1</v>
      </c>
      <c r="BT54" t="s">
        <v>16</v>
      </c>
      <c r="BV54" t="s">
        <v>16</v>
      </c>
      <c r="BW54" t="s">
        <v>16</v>
      </c>
      <c r="BX54" t="s">
        <v>16</v>
      </c>
      <c r="BY54">
        <v>0.88235294117647001</v>
      </c>
      <c r="CA54" t="s">
        <v>16</v>
      </c>
      <c r="CB54" t="s">
        <v>16</v>
      </c>
      <c r="CD54" t="s">
        <v>16</v>
      </c>
      <c r="CF54">
        <v>0.99375581755764997</v>
      </c>
      <c r="CG54" t="s">
        <v>16</v>
      </c>
      <c r="CI54">
        <f t="shared" si="2"/>
        <v>0.79747159589908512</v>
      </c>
      <c r="CJ54">
        <f t="shared" si="0"/>
        <v>0.58921218036596923</v>
      </c>
      <c r="CK54">
        <f t="shared" si="1"/>
        <v>0.99375581755764997</v>
      </c>
    </row>
    <row r="55" spans="1:89" x14ac:dyDescent="0.25">
      <c r="A55" t="s">
        <v>25</v>
      </c>
      <c r="B55">
        <v>4</v>
      </c>
      <c r="C55" s="1"/>
      <c r="D55" s="3"/>
      <c r="E55" s="3"/>
      <c r="F55" s="3"/>
      <c r="G55" s="3"/>
      <c r="AH55" t="s">
        <v>16</v>
      </c>
      <c r="AI55" t="s">
        <v>16</v>
      </c>
      <c r="AL55" t="s">
        <v>16</v>
      </c>
      <c r="AP55" t="s">
        <v>16</v>
      </c>
      <c r="AW55" t="s">
        <v>16</v>
      </c>
      <c r="AX55" t="s">
        <v>16</v>
      </c>
      <c r="AZ55" t="s">
        <v>16</v>
      </c>
      <c r="BB55" t="s">
        <v>16</v>
      </c>
      <c r="BD55" t="s">
        <v>16</v>
      </c>
      <c r="BF55" t="s">
        <v>16</v>
      </c>
      <c r="BH55" t="s">
        <v>16</v>
      </c>
      <c r="BK55" t="s">
        <v>16</v>
      </c>
      <c r="BL55" t="s">
        <v>16</v>
      </c>
      <c r="BN55" t="s">
        <v>16</v>
      </c>
      <c r="BP55" t="s">
        <v>16</v>
      </c>
      <c r="BS55" t="s">
        <v>16</v>
      </c>
      <c r="BT55" t="s">
        <v>16</v>
      </c>
      <c r="BV55" t="s">
        <v>16</v>
      </c>
      <c r="BW55" t="s">
        <v>16</v>
      </c>
      <c r="BX55" t="s">
        <v>16</v>
      </c>
      <c r="BY55" t="s">
        <v>16</v>
      </c>
      <c r="CA55" t="s">
        <v>16</v>
      </c>
      <c r="CB55" t="s">
        <v>16</v>
      </c>
      <c r="CD55" t="s">
        <v>16</v>
      </c>
      <c r="CF55" t="s">
        <v>16</v>
      </c>
      <c r="CG55" t="s">
        <v>16</v>
      </c>
      <c r="CI55">
        <f t="shared" si="2"/>
        <v>0</v>
      </c>
      <c r="CJ55">
        <f t="shared" si="0"/>
        <v>0</v>
      </c>
      <c r="CK55">
        <f t="shared" si="1"/>
        <v>0</v>
      </c>
    </row>
    <row r="56" spans="1:89" x14ac:dyDescent="0.25">
      <c r="A56" t="s">
        <v>31</v>
      </c>
      <c r="B56">
        <v>3</v>
      </c>
      <c r="C56" s="1"/>
      <c r="D56" s="3">
        <v>3</v>
      </c>
      <c r="E56" s="3">
        <v>2</v>
      </c>
      <c r="F56" s="3">
        <v>3</v>
      </c>
      <c r="G56" s="3">
        <v>3</v>
      </c>
      <c r="AH56" t="s">
        <v>16</v>
      </c>
      <c r="AI56" t="s">
        <v>16</v>
      </c>
      <c r="AL56" t="s">
        <v>16</v>
      </c>
      <c r="AP56" t="s">
        <v>16</v>
      </c>
      <c r="AW56" t="s">
        <v>16</v>
      </c>
      <c r="AX56" t="s">
        <v>16</v>
      </c>
      <c r="AZ56">
        <v>0.99004975124378103</v>
      </c>
      <c r="BB56">
        <v>0.95833333333333304</v>
      </c>
      <c r="BD56" t="s">
        <v>16</v>
      </c>
      <c r="BF56" t="s">
        <v>16</v>
      </c>
      <c r="BH56">
        <v>0.967741935483871</v>
      </c>
      <c r="BK56" t="s">
        <v>16</v>
      </c>
      <c r="BL56" t="s">
        <v>16</v>
      </c>
      <c r="BN56">
        <v>0.974395527279594</v>
      </c>
      <c r="BP56" t="s">
        <v>16</v>
      </c>
      <c r="BS56" t="s">
        <v>16</v>
      </c>
      <c r="BT56">
        <v>0.97674418604651103</v>
      </c>
      <c r="BV56" t="s">
        <v>16</v>
      </c>
      <c r="BW56">
        <v>0.98091227974443596</v>
      </c>
      <c r="BX56" t="s">
        <v>16</v>
      </c>
      <c r="BY56" t="s">
        <v>16</v>
      </c>
      <c r="CA56" t="s">
        <v>16</v>
      </c>
      <c r="CB56">
        <v>0.76785714285714202</v>
      </c>
      <c r="CD56">
        <v>0.64713064713064705</v>
      </c>
      <c r="CF56" t="s">
        <v>16</v>
      </c>
      <c r="CG56" t="s">
        <v>16</v>
      </c>
      <c r="CI56">
        <f t="shared" si="2"/>
        <v>0.88464283268254762</v>
      </c>
      <c r="CJ56">
        <f t="shared" si="0"/>
        <v>0</v>
      </c>
      <c r="CK56">
        <f t="shared" si="1"/>
        <v>0.97765390351201498</v>
      </c>
    </row>
    <row r="57" spans="1:89" x14ac:dyDescent="0.25">
      <c r="A57" t="s">
        <v>95</v>
      </c>
      <c r="B57">
        <v>3</v>
      </c>
      <c r="C57" s="1"/>
      <c r="D57" s="3">
        <v>2</v>
      </c>
      <c r="E57" s="3">
        <v>2</v>
      </c>
      <c r="F57" s="3">
        <v>2</v>
      </c>
      <c r="G57" s="3">
        <v>1</v>
      </c>
      <c r="AH57" t="s">
        <v>16</v>
      </c>
      <c r="AI57" t="s">
        <v>16</v>
      </c>
      <c r="AL57" t="s">
        <v>16</v>
      </c>
      <c r="AP57" t="s">
        <v>16</v>
      </c>
      <c r="AW57" t="s">
        <v>16</v>
      </c>
      <c r="AX57" t="s">
        <v>16</v>
      </c>
      <c r="AZ57">
        <v>0.628571428571428</v>
      </c>
      <c r="BB57">
        <v>0.72463768115941996</v>
      </c>
      <c r="BD57" t="s">
        <v>16</v>
      </c>
      <c r="BF57" t="s">
        <v>16</v>
      </c>
      <c r="BH57">
        <v>0.43396226415094302</v>
      </c>
      <c r="BK57" t="s">
        <v>16</v>
      </c>
      <c r="BL57" t="s">
        <v>16</v>
      </c>
      <c r="BN57">
        <v>0.98709314995953301</v>
      </c>
      <c r="BP57" t="s">
        <v>16</v>
      </c>
      <c r="BS57" t="s">
        <v>16</v>
      </c>
      <c r="BT57">
        <v>0.93181818181818099</v>
      </c>
      <c r="BV57" t="s">
        <v>16</v>
      </c>
      <c r="BW57" t="s">
        <v>16</v>
      </c>
      <c r="BX57" t="s">
        <v>16</v>
      </c>
      <c r="BY57" t="s">
        <v>16</v>
      </c>
      <c r="CA57" t="s">
        <v>16</v>
      </c>
      <c r="CB57">
        <v>0.4375</v>
      </c>
      <c r="CD57">
        <v>0.61764705882352899</v>
      </c>
      <c r="CF57" t="s">
        <v>16</v>
      </c>
      <c r="CG57" t="s">
        <v>16</v>
      </c>
      <c r="CI57">
        <f t="shared" si="2"/>
        <v>0.62902276908725019</v>
      </c>
      <c r="CJ57">
        <f t="shared" si="0"/>
        <v>0</v>
      </c>
      <c r="CK57">
        <f t="shared" si="1"/>
        <v>0.98709314995953301</v>
      </c>
    </row>
    <row r="58" spans="1:89" x14ac:dyDescent="0.25">
      <c r="A58" t="s">
        <v>42</v>
      </c>
      <c r="B58">
        <v>4</v>
      </c>
      <c r="C58" s="1"/>
      <c r="D58" s="3"/>
      <c r="E58" s="3"/>
      <c r="F58" s="3"/>
      <c r="G58" s="3"/>
      <c r="AH58" t="s">
        <v>16</v>
      </c>
      <c r="AI58" t="s">
        <v>16</v>
      </c>
      <c r="AL58" t="s">
        <v>16</v>
      </c>
      <c r="AP58" t="s">
        <v>16</v>
      </c>
      <c r="AW58" t="s">
        <v>16</v>
      </c>
      <c r="AX58" t="s">
        <v>16</v>
      </c>
      <c r="AZ58" t="s">
        <v>16</v>
      </c>
      <c r="BB58" t="s">
        <v>16</v>
      </c>
      <c r="BD58" t="s">
        <v>16</v>
      </c>
      <c r="BF58" t="s">
        <v>16</v>
      </c>
      <c r="BH58" t="s">
        <v>16</v>
      </c>
      <c r="BK58" t="s">
        <v>16</v>
      </c>
      <c r="BL58" t="s">
        <v>16</v>
      </c>
      <c r="BN58" t="s">
        <v>16</v>
      </c>
      <c r="BP58" t="s">
        <v>16</v>
      </c>
      <c r="BS58" t="s">
        <v>16</v>
      </c>
      <c r="BT58" t="s">
        <v>16</v>
      </c>
      <c r="BV58" t="s">
        <v>16</v>
      </c>
      <c r="BW58" t="s">
        <v>16</v>
      </c>
      <c r="BX58" t="s">
        <v>16</v>
      </c>
      <c r="BY58" t="s">
        <v>16</v>
      </c>
      <c r="CA58" t="s">
        <v>16</v>
      </c>
      <c r="CB58" t="s">
        <v>16</v>
      </c>
      <c r="CD58" t="s">
        <v>16</v>
      </c>
      <c r="CF58" t="s">
        <v>16</v>
      </c>
      <c r="CG58" t="s">
        <v>16</v>
      </c>
      <c r="CI58">
        <f t="shared" si="2"/>
        <v>0</v>
      </c>
      <c r="CJ58">
        <f t="shared" si="0"/>
        <v>0</v>
      </c>
      <c r="CK58">
        <f t="shared" si="1"/>
        <v>0</v>
      </c>
    </row>
    <row r="59" spans="1:89" x14ac:dyDescent="0.25">
      <c r="A59" t="s">
        <v>91</v>
      </c>
      <c r="B59">
        <v>3</v>
      </c>
      <c r="C59" s="1"/>
      <c r="D59" s="3">
        <v>3</v>
      </c>
      <c r="E59" s="3">
        <v>2</v>
      </c>
      <c r="F59" s="3">
        <v>3</v>
      </c>
      <c r="G59" s="3">
        <v>3</v>
      </c>
      <c r="AH59" t="s">
        <v>16</v>
      </c>
      <c r="AI59" t="s">
        <v>16</v>
      </c>
      <c r="AL59" t="s">
        <v>16</v>
      </c>
      <c r="AP59" t="s">
        <v>16</v>
      </c>
      <c r="AW59" t="s">
        <v>16</v>
      </c>
      <c r="AX59" t="s">
        <v>16</v>
      </c>
      <c r="AZ59">
        <v>0.96078431372549</v>
      </c>
      <c r="BB59">
        <v>0.98181818181818103</v>
      </c>
      <c r="BD59" t="s">
        <v>16</v>
      </c>
      <c r="BF59" t="s">
        <v>16</v>
      </c>
      <c r="BH59">
        <v>0.841584158415841</v>
      </c>
      <c r="BK59" t="s">
        <v>16</v>
      </c>
      <c r="BL59" t="s">
        <v>16</v>
      </c>
      <c r="BN59">
        <v>0.95720314653681504</v>
      </c>
      <c r="BP59" t="s">
        <v>16</v>
      </c>
      <c r="BS59" t="s">
        <v>16</v>
      </c>
      <c r="BT59">
        <v>0.78431372549019596</v>
      </c>
      <c r="BV59" t="s">
        <v>16</v>
      </c>
      <c r="BW59" t="s">
        <v>16</v>
      </c>
      <c r="BX59" t="s">
        <v>16</v>
      </c>
      <c r="BY59" t="s">
        <v>16</v>
      </c>
      <c r="CA59" t="s">
        <v>16</v>
      </c>
      <c r="CB59">
        <v>0.225806451612903</v>
      </c>
      <c r="CD59">
        <v>0.64814814814814803</v>
      </c>
      <c r="CF59" t="s">
        <v>16</v>
      </c>
      <c r="CG59" t="s">
        <v>16</v>
      </c>
      <c r="CI59">
        <f t="shared" si="2"/>
        <v>0.74040916320179317</v>
      </c>
      <c r="CJ59">
        <f t="shared" si="0"/>
        <v>0</v>
      </c>
      <c r="CK59">
        <f t="shared" si="1"/>
        <v>0.95720314653681504</v>
      </c>
    </row>
    <row r="60" spans="1:89" x14ac:dyDescent="0.25">
      <c r="A60" t="s">
        <v>23</v>
      </c>
      <c r="B60">
        <v>4</v>
      </c>
      <c r="C60" s="1"/>
      <c r="D60" s="3"/>
      <c r="E60" s="3"/>
      <c r="F60" s="3"/>
      <c r="G60" s="3"/>
      <c r="AH60" t="s">
        <v>16</v>
      </c>
      <c r="AI60" t="s">
        <v>16</v>
      </c>
      <c r="AL60" t="s">
        <v>16</v>
      </c>
      <c r="AP60" t="s">
        <v>16</v>
      </c>
      <c r="AW60" t="s">
        <v>16</v>
      </c>
      <c r="AX60" t="s">
        <v>16</v>
      </c>
      <c r="AZ60" t="s">
        <v>16</v>
      </c>
      <c r="BB60" t="s">
        <v>16</v>
      </c>
      <c r="BD60" t="s">
        <v>16</v>
      </c>
      <c r="BF60" t="s">
        <v>16</v>
      </c>
      <c r="BH60" t="s">
        <v>16</v>
      </c>
      <c r="BK60" t="s">
        <v>16</v>
      </c>
      <c r="BL60" t="s">
        <v>16</v>
      </c>
      <c r="BN60" t="s">
        <v>16</v>
      </c>
      <c r="BP60" t="s">
        <v>16</v>
      </c>
      <c r="BS60" t="s">
        <v>16</v>
      </c>
      <c r="BT60" t="s">
        <v>16</v>
      </c>
      <c r="BV60" t="s">
        <v>16</v>
      </c>
      <c r="BW60" t="s">
        <v>16</v>
      </c>
      <c r="BX60" t="s">
        <v>16</v>
      </c>
      <c r="BY60" t="s">
        <v>16</v>
      </c>
      <c r="CA60" t="s">
        <v>16</v>
      </c>
      <c r="CB60" t="s">
        <v>16</v>
      </c>
      <c r="CD60" t="s">
        <v>16</v>
      </c>
      <c r="CF60" t="s">
        <v>16</v>
      </c>
      <c r="CG60" t="s">
        <v>16</v>
      </c>
      <c r="CI60">
        <f t="shared" si="2"/>
        <v>0</v>
      </c>
      <c r="CJ60">
        <f t="shared" si="0"/>
        <v>0</v>
      </c>
      <c r="CK60">
        <f t="shared" si="1"/>
        <v>0</v>
      </c>
    </row>
    <row r="61" spans="1:89" x14ac:dyDescent="0.25">
      <c r="A61" t="s">
        <v>37</v>
      </c>
      <c r="B61">
        <v>4</v>
      </c>
      <c r="C61" s="1"/>
      <c r="D61" s="3"/>
      <c r="E61" s="3"/>
      <c r="F61" s="3"/>
      <c r="G61" s="3"/>
      <c r="AH61" t="s">
        <v>16</v>
      </c>
      <c r="AI61" t="s">
        <v>16</v>
      </c>
      <c r="AL61" t="s">
        <v>16</v>
      </c>
      <c r="AP61" t="s">
        <v>16</v>
      </c>
      <c r="AW61" t="s">
        <v>16</v>
      </c>
      <c r="AX61" t="s">
        <v>16</v>
      </c>
      <c r="AZ61" t="s">
        <v>16</v>
      </c>
      <c r="BB61" t="s">
        <v>16</v>
      </c>
      <c r="BD61" t="s">
        <v>16</v>
      </c>
      <c r="BF61" t="s">
        <v>16</v>
      </c>
      <c r="BH61" t="s">
        <v>16</v>
      </c>
      <c r="BK61" t="s">
        <v>16</v>
      </c>
      <c r="BL61" t="s">
        <v>16</v>
      </c>
      <c r="BN61" t="s">
        <v>16</v>
      </c>
      <c r="BP61" t="s">
        <v>16</v>
      </c>
      <c r="BS61" t="s">
        <v>16</v>
      </c>
      <c r="BT61" t="s">
        <v>16</v>
      </c>
      <c r="BV61" t="s">
        <v>16</v>
      </c>
      <c r="BW61" t="s">
        <v>16</v>
      </c>
      <c r="BX61" t="s">
        <v>16</v>
      </c>
      <c r="BY61" t="s">
        <v>16</v>
      </c>
      <c r="CA61" t="s">
        <v>16</v>
      </c>
      <c r="CB61" t="s">
        <v>16</v>
      </c>
      <c r="CD61" t="s">
        <v>16</v>
      </c>
      <c r="CF61" t="s">
        <v>16</v>
      </c>
      <c r="CG61" t="s">
        <v>16</v>
      </c>
      <c r="CI61">
        <f t="shared" si="2"/>
        <v>0</v>
      </c>
      <c r="CJ61">
        <f t="shared" si="0"/>
        <v>0</v>
      </c>
      <c r="CK61">
        <f t="shared" si="1"/>
        <v>0</v>
      </c>
    </row>
    <row r="62" spans="1:89" x14ac:dyDescent="0.25">
      <c r="A62" t="s">
        <v>48</v>
      </c>
      <c r="B62">
        <v>1</v>
      </c>
      <c r="C62" s="1">
        <v>10</v>
      </c>
      <c r="D62" s="3">
        <v>3</v>
      </c>
      <c r="E62" s="3">
        <v>3</v>
      </c>
      <c r="F62" s="3">
        <v>3</v>
      </c>
      <c r="G62" s="3">
        <v>3</v>
      </c>
      <c r="AH62" t="s">
        <v>16</v>
      </c>
      <c r="AI62" t="s">
        <v>16</v>
      </c>
      <c r="AL62" t="s">
        <v>16</v>
      </c>
      <c r="AP62">
        <v>1</v>
      </c>
      <c r="AW62">
        <v>0</v>
      </c>
      <c r="AX62" t="s">
        <v>16</v>
      </c>
      <c r="AZ62" t="s">
        <v>16</v>
      </c>
      <c r="BB62" t="s">
        <v>16</v>
      </c>
      <c r="BD62" t="s">
        <v>16</v>
      </c>
      <c r="BF62">
        <v>0.48683594963475102</v>
      </c>
      <c r="BH62" t="s">
        <v>16</v>
      </c>
      <c r="BK62" t="s">
        <v>16</v>
      </c>
      <c r="BL62" t="s">
        <v>16</v>
      </c>
      <c r="BN62" t="s">
        <v>16</v>
      </c>
      <c r="BP62" t="s">
        <v>16</v>
      </c>
      <c r="BS62">
        <v>1</v>
      </c>
      <c r="BT62" t="s">
        <v>16</v>
      </c>
      <c r="BV62">
        <v>0.991379047759676</v>
      </c>
      <c r="BW62">
        <v>0.56088378378378301</v>
      </c>
      <c r="BX62" t="s">
        <v>16</v>
      </c>
      <c r="BY62" t="s">
        <v>16</v>
      </c>
      <c r="CA62" t="s">
        <v>16</v>
      </c>
      <c r="CB62" t="s">
        <v>16</v>
      </c>
      <c r="CD62" t="s">
        <v>16</v>
      </c>
      <c r="CF62" t="s">
        <v>16</v>
      </c>
      <c r="CG62" t="s">
        <v>16</v>
      </c>
      <c r="CI62">
        <f t="shared" si="2"/>
        <v>0</v>
      </c>
      <c r="CJ62">
        <f t="shared" si="0"/>
        <v>0.62170898740868774</v>
      </c>
      <c r="CK62">
        <f t="shared" si="1"/>
        <v>0.7761314157717295</v>
      </c>
    </row>
    <row r="63" spans="1:89" x14ac:dyDescent="0.25">
      <c r="A63" t="s">
        <v>92</v>
      </c>
      <c r="B63">
        <v>3</v>
      </c>
      <c r="C63" s="1"/>
      <c r="D63" s="3">
        <v>3</v>
      </c>
      <c r="E63" s="3">
        <v>2</v>
      </c>
      <c r="F63" s="3">
        <v>3</v>
      </c>
      <c r="G63" s="3">
        <v>3</v>
      </c>
      <c r="AH63" t="s">
        <v>16</v>
      </c>
      <c r="AI63" t="s">
        <v>16</v>
      </c>
      <c r="AL63" t="s">
        <v>16</v>
      </c>
      <c r="AP63" t="s">
        <v>16</v>
      </c>
      <c r="AW63" t="s">
        <v>16</v>
      </c>
      <c r="AX63" t="s">
        <v>16</v>
      </c>
      <c r="AZ63">
        <v>0.98863636363636298</v>
      </c>
      <c r="BB63">
        <v>0.986928104575163</v>
      </c>
      <c r="BD63" t="s">
        <v>16</v>
      </c>
      <c r="BF63" t="s">
        <v>16</v>
      </c>
      <c r="BH63">
        <v>0.90789473684210498</v>
      </c>
      <c r="BK63" t="s">
        <v>16</v>
      </c>
      <c r="BL63" t="s">
        <v>16</v>
      </c>
      <c r="BN63">
        <v>0.98398892602432197</v>
      </c>
      <c r="BP63" t="s">
        <v>16</v>
      </c>
      <c r="BS63" t="s">
        <v>16</v>
      </c>
      <c r="BT63">
        <v>0.99382716049382702</v>
      </c>
      <c r="BV63" t="s">
        <v>16</v>
      </c>
      <c r="BW63" t="s">
        <v>16</v>
      </c>
      <c r="BX63" t="s">
        <v>16</v>
      </c>
      <c r="BY63" t="s">
        <v>16</v>
      </c>
      <c r="CA63" t="s">
        <v>16</v>
      </c>
      <c r="CB63">
        <v>0.75115207373271797</v>
      </c>
      <c r="CD63">
        <v>0.72465960665658002</v>
      </c>
      <c r="CF63" t="s">
        <v>16</v>
      </c>
      <c r="CG63" t="s">
        <v>16</v>
      </c>
      <c r="CI63">
        <f t="shared" si="2"/>
        <v>0.89218300765612601</v>
      </c>
      <c r="CJ63">
        <f t="shared" si="0"/>
        <v>0</v>
      </c>
      <c r="CK63">
        <f t="shared" si="1"/>
        <v>0.98398892602432197</v>
      </c>
    </row>
    <row r="64" spans="1:89" x14ac:dyDescent="0.25">
      <c r="A64" t="s">
        <v>72</v>
      </c>
      <c r="B64" t="s">
        <v>70</v>
      </c>
      <c r="C64" s="1">
        <v>10</v>
      </c>
      <c r="D64" s="3">
        <v>1</v>
      </c>
      <c r="E64" s="3">
        <v>3</v>
      </c>
      <c r="F64" s="3">
        <v>2</v>
      </c>
      <c r="G64" s="3">
        <v>3</v>
      </c>
      <c r="AH64">
        <v>0.94660194174757195</v>
      </c>
      <c r="AI64">
        <v>0.98230088495575196</v>
      </c>
      <c r="AL64" t="s">
        <v>16</v>
      </c>
      <c r="AP64" t="s">
        <v>16</v>
      </c>
      <c r="AW64" t="s">
        <v>16</v>
      </c>
      <c r="AX64">
        <v>0.118002654440472</v>
      </c>
      <c r="AZ64" t="s">
        <v>16</v>
      </c>
      <c r="BB64" t="s">
        <v>16</v>
      </c>
      <c r="BD64">
        <v>0.72670807453416097</v>
      </c>
      <c r="BF64">
        <v>0</v>
      </c>
      <c r="BH64" t="s">
        <v>16</v>
      </c>
      <c r="BK64" t="s">
        <v>16</v>
      </c>
      <c r="BL64">
        <v>0.94566490252152302</v>
      </c>
      <c r="BN64">
        <v>0.654361309523809</v>
      </c>
      <c r="BP64">
        <v>0.93243243243243201</v>
      </c>
      <c r="BS64">
        <v>0.57226618476528901</v>
      </c>
      <c r="BT64" t="s">
        <v>16</v>
      </c>
      <c r="BV64" t="s">
        <v>16</v>
      </c>
      <c r="BW64">
        <v>0.89134984720633803</v>
      </c>
      <c r="BX64">
        <v>0.65708437500000005</v>
      </c>
      <c r="BY64" t="s">
        <v>16</v>
      </c>
      <c r="CA64">
        <v>0.994771528448953</v>
      </c>
      <c r="CB64" t="s">
        <v>16</v>
      </c>
      <c r="CD64" t="s">
        <v>16</v>
      </c>
      <c r="CF64" t="s">
        <v>16</v>
      </c>
      <c r="CG64">
        <v>0.60150375939849599</v>
      </c>
      <c r="CI64">
        <f t="shared" si="2"/>
        <v>0.83790941861368251</v>
      </c>
      <c r="CJ64">
        <f t="shared" si="0"/>
        <v>0.230089613068587</v>
      </c>
      <c r="CK64">
        <f t="shared" si="1"/>
        <v>0.82864639254012462</v>
      </c>
    </row>
    <row r="65" spans="1:89" x14ac:dyDescent="0.25">
      <c r="A65" t="s">
        <v>27</v>
      </c>
      <c r="B65">
        <v>4</v>
      </c>
      <c r="C65" s="1"/>
      <c r="D65" s="3"/>
      <c r="E65" s="3"/>
      <c r="F65" s="3"/>
      <c r="G65" s="3"/>
      <c r="AH65" t="s">
        <v>16</v>
      </c>
      <c r="AI65" t="s">
        <v>16</v>
      </c>
      <c r="AL65" t="s">
        <v>16</v>
      </c>
      <c r="AP65" t="s">
        <v>16</v>
      </c>
      <c r="AW65" t="s">
        <v>16</v>
      </c>
      <c r="AX65" t="s">
        <v>16</v>
      </c>
      <c r="AZ65" t="s">
        <v>16</v>
      </c>
      <c r="BB65" t="s">
        <v>16</v>
      </c>
      <c r="BD65" t="s">
        <v>16</v>
      </c>
      <c r="BF65" t="s">
        <v>16</v>
      </c>
      <c r="BH65" t="s">
        <v>16</v>
      </c>
      <c r="BK65" t="s">
        <v>16</v>
      </c>
      <c r="BL65" t="s">
        <v>16</v>
      </c>
      <c r="BN65" t="s">
        <v>16</v>
      </c>
      <c r="BP65" t="s">
        <v>16</v>
      </c>
      <c r="BS65" t="s">
        <v>16</v>
      </c>
      <c r="BT65" t="s">
        <v>16</v>
      </c>
      <c r="BV65" t="s">
        <v>16</v>
      </c>
      <c r="BW65" t="s">
        <v>16</v>
      </c>
      <c r="BX65" t="s">
        <v>16</v>
      </c>
      <c r="BY65" t="s">
        <v>16</v>
      </c>
      <c r="CA65" t="s">
        <v>16</v>
      </c>
      <c r="CB65" t="s">
        <v>16</v>
      </c>
      <c r="CD65" t="s">
        <v>16</v>
      </c>
      <c r="CF65" t="s">
        <v>16</v>
      </c>
      <c r="CG65" t="s">
        <v>16</v>
      </c>
      <c r="CI65">
        <f t="shared" si="2"/>
        <v>0</v>
      </c>
      <c r="CJ65">
        <f t="shared" si="0"/>
        <v>0</v>
      </c>
      <c r="CK65">
        <f t="shared" si="1"/>
        <v>0</v>
      </c>
    </row>
    <row r="66" spans="1:89" x14ac:dyDescent="0.25">
      <c r="A66" t="s">
        <v>32</v>
      </c>
      <c r="B66">
        <v>1</v>
      </c>
      <c r="C66" s="1">
        <v>10</v>
      </c>
      <c r="D66" s="3">
        <v>3</v>
      </c>
      <c r="E66" s="3">
        <v>3</v>
      </c>
      <c r="F66" s="3">
        <v>3</v>
      </c>
      <c r="G66" s="3">
        <v>3</v>
      </c>
      <c r="AH66" t="s">
        <v>16</v>
      </c>
      <c r="AI66" t="s">
        <v>16</v>
      </c>
      <c r="AL66" t="s">
        <v>16</v>
      </c>
      <c r="AP66" t="s">
        <v>16</v>
      </c>
      <c r="AW66">
        <v>0</v>
      </c>
      <c r="AX66" t="s">
        <v>16</v>
      </c>
      <c r="AZ66" t="s">
        <v>16</v>
      </c>
      <c r="BB66" t="s">
        <v>16</v>
      </c>
      <c r="BD66" t="s">
        <v>16</v>
      </c>
      <c r="BF66">
        <v>0</v>
      </c>
      <c r="BH66" t="s">
        <v>16</v>
      </c>
      <c r="BK66" t="s">
        <v>16</v>
      </c>
      <c r="BL66" t="s">
        <v>16</v>
      </c>
      <c r="BN66" t="s">
        <v>16</v>
      </c>
      <c r="BP66" t="s">
        <v>16</v>
      </c>
      <c r="BS66">
        <v>1</v>
      </c>
      <c r="BT66" t="s">
        <v>16</v>
      </c>
      <c r="BV66">
        <v>0.92489908205470395</v>
      </c>
      <c r="BW66">
        <v>0.52379999999999904</v>
      </c>
      <c r="BX66" t="s">
        <v>16</v>
      </c>
      <c r="BY66" t="s">
        <v>16</v>
      </c>
      <c r="CA66" t="s">
        <v>16</v>
      </c>
      <c r="CB66" t="s">
        <v>16</v>
      </c>
      <c r="CD66" t="s">
        <v>16</v>
      </c>
      <c r="CF66" t="s">
        <v>16</v>
      </c>
      <c r="CG66" t="s">
        <v>16</v>
      </c>
      <c r="CI66">
        <f t="shared" si="2"/>
        <v>0</v>
      </c>
      <c r="CJ66">
        <f t="shared" si="0"/>
        <v>0.33333333333333331</v>
      </c>
      <c r="CK66">
        <f t="shared" si="1"/>
        <v>0.7243495410273515</v>
      </c>
    </row>
    <row r="67" spans="1:89" x14ac:dyDescent="0.25">
      <c r="A67" t="s">
        <v>66</v>
      </c>
      <c r="B67" t="s">
        <v>55</v>
      </c>
      <c r="C67" s="1">
        <v>10</v>
      </c>
      <c r="D67" s="3">
        <v>3</v>
      </c>
      <c r="E67" s="3">
        <v>3</v>
      </c>
      <c r="F67" s="3">
        <v>3</v>
      </c>
      <c r="G67" s="3">
        <v>3</v>
      </c>
      <c r="AH67">
        <v>0.96446700507614203</v>
      </c>
      <c r="AI67">
        <v>0.98319327731092399</v>
      </c>
      <c r="AL67" t="s">
        <v>16</v>
      </c>
      <c r="AP67" t="s">
        <v>16</v>
      </c>
      <c r="AW67">
        <v>0</v>
      </c>
      <c r="AX67">
        <v>0</v>
      </c>
      <c r="AZ67" t="s">
        <v>16</v>
      </c>
      <c r="BB67" t="s">
        <v>16</v>
      </c>
      <c r="BD67">
        <v>0.84426229508196704</v>
      </c>
      <c r="BF67">
        <v>0.48634272117494098</v>
      </c>
      <c r="BH67" t="s">
        <v>16</v>
      </c>
      <c r="BK67" t="s">
        <v>16</v>
      </c>
      <c r="BL67" t="s">
        <v>16</v>
      </c>
      <c r="BN67">
        <v>0.84518598858948601</v>
      </c>
      <c r="BP67">
        <v>0.89898989898989901</v>
      </c>
      <c r="BS67">
        <v>0</v>
      </c>
      <c r="BT67" t="s">
        <v>16</v>
      </c>
      <c r="BV67" t="s">
        <v>16</v>
      </c>
      <c r="BW67" t="s">
        <v>16</v>
      </c>
      <c r="BX67" t="s">
        <v>16</v>
      </c>
      <c r="BY67">
        <v>1</v>
      </c>
      <c r="CA67" t="s">
        <v>16</v>
      </c>
      <c r="CB67" t="s">
        <v>16</v>
      </c>
      <c r="CD67" t="s">
        <v>16</v>
      </c>
      <c r="CF67">
        <v>0.99907389569562</v>
      </c>
      <c r="CG67" t="s">
        <v>16</v>
      </c>
      <c r="CI67">
        <f t="shared" si="2"/>
        <v>0.93818249529178632</v>
      </c>
      <c r="CJ67">
        <f t="shared" ref="CJ67:CJ100" si="3">IFERROR(AVERAGE(BS67,BF67,BE67,BC67,AX67,AW67,AV67,AT67,AS67,AP67,AN67,AM67,AL67,AE67,AD67,AB67,Y67,W67),)</f>
        <v>0.12158568029373525</v>
      </c>
      <c r="CK67">
        <f t="shared" ref="CK67:CK100" si="4">IFERROR(AVERAGE(BK67,BL67,BN67,BU67,BV67,BW67,BX67,CA67,CE67,CF67),0)</f>
        <v>0.92212994214255306</v>
      </c>
    </row>
    <row r="68" spans="1:89" x14ac:dyDescent="0.25">
      <c r="A68" t="s">
        <v>94</v>
      </c>
      <c r="B68">
        <v>3</v>
      </c>
      <c r="C68" s="1"/>
      <c r="D68" s="3"/>
      <c r="E68" s="3"/>
      <c r="F68" s="3"/>
      <c r="G68" s="3"/>
      <c r="AH68" t="s">
        <v>16</v>
      </c>
      <c r="AI68" t="s">
        <v>16</v>
      </c>
      <c r="AL68" t="s">
        <v>16</v>
      </c>
      <c r="AP68" t="s">
        <v>16</v>
      </c>
      <c r="AW68" t="s">
        <v>16</v>
      </c>
      <c r="AX68" t="s">
        <v>16</v>
      </c>
      <c r="AZ68">
        <v>0.38970588235294101</v>
      </c>
      <c r="BB68">
        <v>0.60526315789473595</v>
      </c>
      <c r="BD68" t="s">
        <v>16</v>
      </c>
      <c r="BF68" t="s">
        <v>16</v>
      </c>
      <c r="BH68">
        <v>0.78846153846153799</v>
      </c>
      <c r="BK68" t="s">
        <v>16</v>
      </c>
      <c r="BL68" t="s">
        <v>16</v>
      </c>
      <c r="BN68">
        <v>0.98076648107587705</v>
      </c>
      <c r="BP68" t="s">
        <v>16</v>
      </c>
      <c r="BS68" t="s">
        <v>16</v>
      </c>
      <c r="BT68">
        <v>0.59722222222222199</v>
      </c>
      <c r="BV68" t="s">
        <v>16</v>
      </c>
      <c r="BW68" t="s">
        <v>16</v>
      </c>
      <c r="BX68" t="s">
        <v>16</v>
      </c>
      <c r="BY68" t="s">
        <v>16</v>
      </c>
      <c r="CA68" t="s">
        <v>16</v>
      </c>
      <c r="CB68">
        <v>6.9930069930069894E-2</v>
      </c>
      <c r="CD68">
        <v>0.202380952380952</v>
      </c>
      <c r="CF68" t="s">
        <v>16</v>
      </c>
      <c r="CG68" t="s">
        <v>16</v>
      </c>
      <c r="CI68">
        <f t="shared" ref="CI68:CI100" si="5">IFERROR(AVERAGE(CG68,CD68,CC68,CB68,BZ68,BY68,BT68,BR68,BQ68,BP68,BO68,BM68,BJ68,BI68,BH68,BG68,BD68,BB68,BA68,AZ68,AY68,AU68,AR68,AQ68,AO68,AK68,AJ68,AI68,AH68,AG68,AF68,AC68,AA68,Z68,X68,V68,U68,T68,S68,R68,Q68,P68,O68,N68,M68,L68,K68,J68,I68,H68),0)</f>
        <v>0.44216063720707649</v>
      </c>
      <c r="CJ68">
        <f t="shared" si="3"/>
        <v>0</v>
      </c>
      <c r="CK68">
        <f t="shared" si="4"/>
        <v>0.98076648107587705</v>
      </c>
    </row>
    <row r="69" spans="1:89" x14ac:dyDescent="0.25">
      <c r="A69" t="s">
        <v>106</v>
      </c>
      <c r="B69">
        <v>1</v>
      </c>
      <c r="C69" s="1">
        <v>10</v>
      </c>
      <c r="D69" s="3">
        <v>3</v>
      </c>
      <c r="E69" s="3">
        <v>3</v>
      </c>
      <c r="F69" s="3">
        <v>3</v>
      </c>
      <c r="G69" s="3">
        <v>3</v>
      </c>
      <c r="AH69" t="s">
        <v>16</v>
      </c>
      <c r="AI69" t="s">
        <v>16</v>
      </c>
      <c r="AL69" t="s">
        <v>16</v>
      </c>
      <c r="AP69" t="s">
        <v>16</v>
      </c>
      <c r="AW69">
        <v>0.192147252263734</v>
      </c>
      <c r="AX69" t="s">
        <v>16</v>
      </c>
      <c r="AZ69" t="s">
        <v>16</v>
      </c>
      <c r="BB69" t="s">
        <v>16</v>
      </c>
      <c r="BD69" t="s">
        <v>16</v>
      </c>
      <c r="BF69">
        <v>0</v>
      </c>
      <c r="BH69" t="s">
        <v>16</v>
      </c>
      <c r="BK69" t="s">
        <v>16</v>
      </c>
      <c r="BL69" t="s">
        <v>16</v>
      </c>
      <c r="BN69" t="s">
        <v>16</v>
      </c>
      <c r="BP69" t="s">
        <v>16</v>
      </c>
      <c r="BS69" t="s">
        <v>16</v>
      </c>
      <c r="BT69" t="s">
        <v>16</v>
      </c>
      <c r="BV69">
        <v>0.96065147388476801</v>
      </c>
      <c r="BW69">
        <v>0.64305352564102503</v>
      </c>
      <c r="BX69" t="s">
        <v>16</v>
      </c>
      <c r="BY69" t="s">
        <v>16</v>
      </c>
      <c r="CA69" t="s">
        <v>16</v>
      </c>
      <c r="CB69" t="s">
        <v>16</v>
      </c>
      <c r="CD69" t="s">
        <v>16</v>
      </c>
      <c r="CF69" t="s">
        <v>16</v>
      </c>
      <c r="CG69" t="s">
        <v>16</v>
      </c>
      <c r="CI69">
        <f t="shared" si="5"/>
        <v>0</v>
      </c>
      <c r="CJ69">
        <f t="shared" si="3"/>
        <v>9.6073626131866999E-2</v>
      </c>
      <c r="CK69">
        <f t="shared" si="4"/>
        <v>0.80185249976289652</v>
      </c>
    </row>
    <row r="70" spans="1:89" x14ac:dyDescent="0.25">
      <c r="A70" t="s">
        <v>93</v>
      </c>
      <c r="B70">
        <v>3</v>
      </c>
      <c r="C70" s="1"/>
      <c r="D70" s="3">
        <v>2</v>
      </c>
      <c r="E70" s="3">
        <v>2</v>
      </c>
      <c r="F70" s="3">
        <v>2</v>
      </c>
      <c r="G70" s="3">
        <v>2</v>
      </c>
      <c r="AH70" t="s">
        <v>16</v>
      </c>
      <c r="AI70" t="s">
        <v>16</v>
      </c>
      <c r="AL70" t="s">
        <v>16</v>
      </c>
      <c r="AP70" t="s">
        <v>16</v>
      </c>
      <c r="AW70" t="s">
        <v>16</v>
      </c>
      <c r="AX70" t="s">
        <v>16</v>
      </c>
      <c r="AZ70">
        <v>0.85517241379310305</v>
      </c>
      <c r="BB70">
        <v>0.78</v>
      </c>
      <c r="BD70" t="s">
        <v>16</v>
      </c>
      <c r="BF70" t="s">
        <v>16</v>
      </c>
      <c r="BH70">
        <v>0.73737373737373701</v>
      </c>
      <c r="BK70" t="s">
        <v>16</v>
      </c>
      <c r="BL70" t="s">
        <v>16</v>
      </c>
      <c r="BN70">
        <v>0.99138775204369101</v>
      </c>
      <c r="BP70" t="s">
        <v>16</v>
      </c>
      <c r="BS70" t="s">
        <v>16</v>
      </c>
      <c r="BT70">
        <v>0.94623655913978499</v>
      </c>
      <c r="BV70" t="s">
        <v>16</v>
      </c>
      <c r="BW70" t="s">
        <v>16</v>
      </c>
      <c r="BX70" t="s">
        <v>16</v>
      </c>
      <c r="BY70" t="s">
        <v>16</v>
      </c>
      <c r="CA70" t="s">
        <v>16</v>
      </c>
      <c r="CB70">
        <v>0.22033898305084701</v>
      </c>
      <c r="CD70">
        <v>0.39024390243902402</v>
      </c>
      <c r="CF70" t="s">
        <v>16</v>
      </c>
      <c r="CG70" t="s">
        <v>16</v>
      </c>
      <c r="CI70">
        <f t="shared" si="5"/>
        <v>0.65489426596608269</v>
      </c>
      <c r="CJ70">
        <f t="shared" si="3"/>
        <v>0</v>
      </c>
      <c r="CK70">
        <f t="shared" si="4"/>
        <v>0.99138775204369101</v>
      </c>
    </row>
    <row r="71" spans="1:89" x14ac:dyDescent="0.25">
      <c r="A71" t="s">
        <v>89</v>
      </c>
      <c r="B71">
        <v>3</v>
      </c>
      <c r="C71" s="1"/>
      <c r="D71" s="3"/>
      <c r="E71" s="3"/>
      <c r="F71" s="3"/>
      <c r="G71" s="3"/>
      <c r="AH71" t="s">
        <v>16</v>
      </c>
      <c r="AI71" t="s">
        <v>16</v>
      </c>
      <c r="AL71" t="s">
        <v>16</v>
      </c>
      <c r="AP71" t="s">
        <v>16</v>
      </c>
      <c r="AW71" t="s">
        <v>16</v>
      </c>
      <c r="AX71" t="s">
        <v>16</v>
      </c>
      <c r="AZ71">
        <v>0.91228070175438503</v>
      </c>
      <c r="BB71">
        <v>0.92857142857142805</v>
      </c>
      <c r="BD71" t="s">
        <v>16</v>
      </c>
      <c r="BF71" t="s">
        <v>16</v>
      </c>
      <c r="BH71">
        <v>0.88679245283018804</v>
      </c>
      <c r="BK71" t="s">
        <v>16</v>
      </c>
      <c r="BL71" t="s">
        <v>16</v>
      </c>
      <c r="BN71">
        <v>0.99205397061770695</v>
      </c>
      <c r="BP71" t="s">
        <v>16</v>
      </c>
      <c r="BS71" t="s">
        <v>16</v>
      </c>
      <c r="BT71">
        <v>0.97202797202797198</v>
      </c>
      <c r="BV71" t="s">
        <v>16</v>
      </c>
      <c r="BW71" t="s">
        <v>16</v>
      </c>
      <c r="BX71" t="s">
        <v>16</v>
      </c>
      <c r="BY71" t="s">
        <v>16</v>
      </c>
      <c r="CA71" t="s">
        <v>16</v>
      </c>
      <c r="CB71">
        <v>0.71428571428571397</v>
      </c>
      <c r="CD71">
        <v>0.78571428571428503</v>
      </c>
      <c r="CF71" t="s">
        <v>16</v>
      </c>
      <c r="CG71" t="s">
        <v>16</v>
      </c>
      <c r="CI71">
        <f t="shared" si="5"/>
        <v>0.86661209253066207</v>
      </c>
      <c r="CJ71">
        <f t="shared" si="3"/>
        <v>0</v>
      </c>
      <c r="CK71">
        <f t="shared" si="4"/>
        <v>0.99205397061770695</v>
      </c>
    </row>
    <row r="72" spans="1:89" x14ac:dyDescent="0.25">
      <c r="A72" t="s">
        <v>44</v>
      </c>
      <c r="B72" t="s">
        <v>70</v>
      </c>
      <c r="C72" s="1">
        <v>9</v>
      </c>
      <c r="D72" s="3">
        <v>2</v>
      </c>
      <c r="E72" s="3">
        <v>1</v>
      </c>
      <c r="F72" s="3">
        <v>1</v>
      </c>
      <c r="G72" s="3">
        <v>2</v>
      </c>
      <c r="AH72">
        <v>0.98251748251748205</v>
      </c>
      <c r="AI72">
        <v>0.97839506172839497</v>
      </c>
      <c r="AL72">
        <v>0.86526420163516804</v>
      </c>
      <c r="AP72" t="s">
        <v>16</v>
      </c>
      <c r="AW72">
        <v>0</v>
      </c>
      <c r="AX72">
        <v>1</v>
      </c>
      <c r="AZ72" t="s">
        <v>16</v>
      </c>
      <c r="BB72" t="s">
        <v>16</v>
      </c>
      <c r="BD72">
        <v>0.89333333333333298</v>
      </c>
      <c r="BF72">
        <v>0.51698336769592201</v>
      </c>
      <c r="BH72" t="s">
        <v>16</v>
      </c>
      <c r="BK72" t="s">
        <v>16</v>
      </c>
      <c r="BL72">
        <v>0.85248677701420295</v>
      </c>
      <c r="BN72">
        <v>0.76272637514727204</v>
      </c>
      <c r="BP72">
        <v>0.94594594594594505</v>
      </c>
      <c r="BS72">
        <v>0.40082134264727198</v>
      </c>
      <c r="BT72" t="s">
        <v>16</v>
      </c>
      <c r="BV72" t="s">
        <v>16</v>
      </c>
      <c r="BW72" t="s">
        <v>16</v>
      </c>
      <c r="BX72">
        <v>0.86721458333333301</v>
      </c>
      <c r="BY72" t="s">
        <v>16</v>
      </c>
      <c r="CA72">
        <v>0.920417142178658</v>
      </c>
      <c r="CB72" t="s">
        <v>16</v>
      </c>
      <c r="CD72" t="s">
        <v>16</v>
      </c>
      <c r="CF72" t="s">
        <v>16</v>
      </c>
      <c r="CG72">
        <v>0.75</v>
      </c>
      <c r="CI72">
        <f t="shared" si="5"/>
        <v>0.91003836470503108</v>
      </c>
      <c r="CJ72">
        <f t="shared" si="3"/>
        <v>0.55661378239567239</v>
      </c>
      <c r="CK72">
        <f t="shared" si="4"/>
        <v>0.85071121941836658</v>
      </c>
    </row>
    <row r="73" spans="1:89" x14ac:dyDescent="0.25">
      <c r="A73" t="s">
        <v>51</v>
      </c>
      <c r="B73">
        <v>3</v>
      </c>
      <c r="C73" s="1"/>
      <c r="D73" s="3"/>
      <c r="E73" s="3"/>
      <c r="F73" s="3"/>
      <c r="G73" s="3"/>
      <c r="AH73" t="s">
        <v>16</v>
      </c>
      <c r="AI73" t="s">
        <v>16</v>
      </c>
      <c r="AL73" t="s">
        <v>16</v>
      </c>
      <c r="AP73" t="s">
        <v>16</v>
      </c>
      <c r="AW73" t="s">
        <v>16</v>
      </c>
      <c r="AX73" t="s">
        <v>16</v>
      </c>
      <c r="AZ73">
        <v>0.92500000000000004</v>
      </c>
      <c r="BB73">
        <v>0.8</v>
      </c>
      <c r="BD73" t="s">
        <v>16</v>
      </c>
      <c r="BF73" t="s">
        <v>16</v>
      </c>
      <c r="BH73">
        <v>0.71641791044776104</v>
      </c>
      <c r="BK73" t="s">
        <v>16</v>
      </c>
      <c r="BL73" t="s">
        <v>16</v>
      </c>
      <c r="BN73">
        <v>0.85382976425991997</v>
      </c>
      <c r="BP73" t="s">
        <v>16</v>
      </c>
      <c r="BS73" t="s">
        <v>16</v>
      </c>
      <c r="BT73">
        <v>0.71428571428571397</v>
      </c>
      <c r="BV73" t="s">
        <v>16</v>
      </c>
      <c r="BW73" t="s">
        <v>16</v>
      </c>
      <c r="BX73" t="s">
        <v>16</v>
      </c>
      <c r="BY73" t="s">
        <v>16</v>
      </c>
      <c r="CA73" t="s">
        <v>16</v>
      </c>
      <c r="CB73">
        <v>6.25E-2</v>
      </c>
      <c r="CD73">
        <v>0.51063829787234005</v>
      </c>
      <c r="CF73" t="s">
        <v>16</v>
      </c>
      <c r="CG73" t="s">
        <v>16</v>
      </c>
      <c r="CI73">
        <f t="shared" si="5"/>
        <v>0.62147365376763586</v>
      </c>
      <c r="CJ73">
        <f t="shared" si="3"/>
        <v>0</v>
      </c>
      <c r="CK73">
        <f t="shared" si="4"/>
        <v>0.85382976425991997</v>
      </c>
    </row>
    <row r="74" spans="1:89" x14ac:dyDescent="0.25">
      <c r="A74" t="s">
        <v>33</v>
      </c>
      <c r="B74">
        <v>4</v>
      </c>
      <c r="C74" s="1"/>
      <c r="D74" s="3"/>
      <c r="E74" s="3"/>
      <c r="F74" s="3"/>
      <c r="G74" s="3"/>
      <c r="AH74" t="s">
        <v>16</v>
      </c>
      <c r="AI74" t="s">
        <v>16</v>
      </c>
      <c r="AL74" t="s">
        <v>16</v>
      </c>
      <c r="AP74" t="s">
        <v>16</v>
      </c>
      <c r="AW74" t="s">
        <v>16</v>
      </c>
      <c r="AX74" t="s">
        <v>16</v>
      </c>
      <c r="AZ74" t="s">
        <v>16</v>
      </c>
      <c r="BB74" t="s">
        <v>16</v>
      </c>
      <c r="BD74" t="s">
        <v>16</v>
      </c>
      <c r="BF74" t="s">
        <v>16</v>
      </c>
      <c r="BH74" t="s">
        <v>16</v>
      </c>
      <c r="BK74" t="s">
        <v>16</v>
      </c>
      <c r="BL74" t="s">
        <v>16</v>
      </c>
      <c r="BN74" t="s">
        <v>16</v>
      </c>
      <c r="BP74" t="s">
        <v>16</v>
      </c>
      <c r="BS74" t="s">
        <v>16</v>
      </c>
      <c r="BT74" t="s">
        <v>16</v>
      </c>
      <c r="BV74" t="s">
        <v>16</v>
      </c>
      <c r="BW74" t="s">
        <v>16</v>
      </c>
      <c r="BX74" t="s">
        <v>16</v>
      </c>
      <c r="BY74" t="s">
        <v>16</v>
      </c>
      <c r="CA74" t="s">
        <v>16</v>
      </c>
      <c r="CB74" t="s">
        <v>16</v>
      </c>
      <c r="CD74" t="s">
        <v>16</v>
      </c>
      <c r="CF74" t="s">
        <v>16</v>
      </c>
      <c r="CG74" t="s">
        <v>16</v>
      </c>
      <c r="CI74">
        <f t="shared" si="5"/>
        <v>0</v>
      </c>
      <c r="CJ74">
        <f t="shared" si="3"/>
        <v>0</v>
      </c>
      <c r="CK74">
        <f t="shared" si="4"/>
        <v>0</v>
      </c>
    </row>
    <row r="75" spans="1:89" x14ac:dyDescent="0.25">
      <c r="A75" t="s">
        <v>105</v>
      </c>
      <c r="B75">
        <v>1</v>
      </c>
      <c r="C75" s="1">
        <v>10</v>
      </c>
      <c r="D75" s="3">
        <v>2</v>
      </c>
      <c r="E75" s="3">
        <v>3</v>
      </c>
      <c r="F75" s="3">
        <v>3</v>
      </c>
      <c r="G75" s="3">
        <v>3</v>
      </c>
      <c r="AH75" t="s">
        <v>16</v>
      </c>
      <c r="AI75" t="s">
        <v>16</v>
      </c>
      <c r="AL75" t="s">
        <v>16</v>
      </c>
      <c r="AP75" t="s">
        <v>16</v>
      </c>
      <c r="AW75" t="s">
        <v>16</v>
      </c>
      <c r="AX75" t="s">
        <v>16</v>
      </c>
      <c r="AZ75" t="s">
        <v>16</v>
      </c>
      <c r="BB75" t="s">
        <v>16</v>
      </c>
      <c r="BD75" t="s">
        <v>16</v>
      </c>
      <c r="BF75">
        <v>0.21109548169995901</v>
      </c>
      <c r="BH75" t="s">
        <v>16</v>
      </c>
      <c r="BK75" t="s">
        <v>16</v>
      </c>
      <c r="BL75" t="s">
        <v>16</v>
      </c>
      <c r="BN75" t="s">
        <v>16</v>
      </c>
      <c r="BP75" t="s">
        <v>16</v>
      </c>
      <c r="BS75" t="s">
        <v>16</v>
      </c>
      <c r="BT75" t="s">
        <v>16</v>
      </c>
      <c r="BV75">
        <v>0.62955463817307999</v>
      </c>
      <c r="BW75">
        <v>0.58960344827586197</v>
      </c>
      <c r="BX75" t="s">
        <v>16</v>
      </c>
      <c r="BY75" t="s">
        <v>16</v>
      </c>
      <c r="CA75" t="s">
        <v>16</v>
      </c>
      <c r="CB75" t="s">
        <v>16</v>
      </c>
      <c r="CD75" t="s">
        <v>16</v>
      </c>
      <c r="CF75" t="s">
        <v>16</v>
      </c>
      <c r="CG75" t="s">
        <v>16</v>
      </c>
      <c r="CI75">
        <f t="shared" si="5"/>
        <v>0</v>
      </c>
      <c r="CJ75">
        <f t="shared" si="3"/>
        <v>0.21109548169995901</v>
      </c>
      <c r="CK75">
        <f t="shared" si="4"/>
        <v>0.60957904322447098</v>
      </c>
    </row>
    <row r="76" spans="1:89" x14ac:dyDescent="0.25">
      <c r="A76" t="s">
        <v>40</v>
      </c>
      <c r="B76">
        <v>3</v>
      </c>
      <c r="C76" s="1"/>
      <c r="D76" s="3">
        <v>2</v>
      </c>
      <c r="E76" s="3">
        <v>2</v>
      </c>
      <c r="F76" s="3">
        <v>1</v>
      </c>
      <c r="G76" s="3">
        <v>1</v>
      </c>
      <c r="AH76" t="s">
        <v>16</v>
      </c>
      <c r="AI76" t="s">
        <v>16</v>
      </c>
      <c r="AL76" t="s">
        <v>16</v>
      </c>
      <c r="AP76" t="s">
        <v>16</v>
      </c>
      <c r="AW76" t="s">
        <v>16</v>
      </c>
      <c r="AX76" t="s">
        <v>16</v>
      </c>
      <c r="AZ76">
        <v>0.71929824561403499</v>
      </c>
      <c r="BB76">
        <v>0.76271186440677896</v>
      </c>
      <c r="BD76" t="s">
        <v>16</v>
      </c>
      <c r="BF76" t="s">
        <v>16</v>
      </c>
      <c r="BH76">
        <v>0.78</v>
      </c>
      <c r="BK76" t="s">
        <v>16</v>
      </c>
      <c r="BL76" t="s">
        <v>16</v>
      </c>
      <c r="BN76">
        <v>0.87393156019724305</v>
      </c>
      <c r="BP76" t="s">
        <v>16</v>
      </c>
      <c r="BS76" t="s">
        <v>16</v>
      </c>
      <c r="BT76">
        <v>0.835443037974683</v>
      </c>
      <c r="BV76" t="s">
        <v>16</v>
      </c>
      <c r="BW76" t="s">
        <v>16</v>
      </c>
      <c r="BX76" t="s">
        <v>16</v>
      </c>
      <c r="BY76" t="s">
        <v>16</v>
      </c>
      <c r="CA76" t="s">
        <v>16</v>
      </c>
      <c r="CB76">
        <v>0.27272727272727199</v>
      </c>
      <c r="CD76">
        <v>0.52380952380952295</v>
      </c>
      <c r="CF76" t="s">
        <v>16</v>
      </c>
      <c r="CG76" t="s">
        <v>16</v>
      </c>
      <c r="CI76">
        <f t="shared" si="5"/>
        <v>0.64899832408871538</v>
      </c>
      <c r="CJ76">
        <f t="shared" si="3"/>
        <v>0</v>
      </c>
      <c r="CK76">
        <f t="shared" si="4"/>
        <v>0.87393156019724305</v>
      </c>
    </row>
    <row r="77" spans="1:89" x14ac:dyDescent="0.25">
      <c r="A77" t="s">
        <v>112</v>
      </c>
      <c r="B77">
        <v>1</v>
      </c>
      <c r="C77" s="1">
        <v>3</v>
      </c>
      <c r="D77" s="3">
        <v>2</v>
      </c>
      <c r="E77" s="3">
        <v>3</v>
      </c>
      <c r="F77" s="3">
        <v>3</v>
      </c>
      <c r="G77" s="3">
        <v>3</v>
      </c>
      <c r="AH77" t="s">
        <v>16</v>
      </c>
      <c r="AI77" t="s">
        <v>16</v>
      </c>
      <c r="AL77" t="s">
        <v>16</v>
      </c>
      <c r="AP77" t="s">
        <v>16</v>
      </c>
      <c r="AW77">
        <v>0</v>
      </c>
      <c r="AX77" t="s">
        <v>16</v>
      </c>
      <c r="AZ77" t="s">
        <v>16</v>
      </c>
      <c r="BB77" t="s">
        <v>16</v>
      </c>
      <c r="BD77" t="s">
        <v>16</v>
      </c>
      <c r="BF77">
        <v>1</v>
      </c>
      <c r="BH77" t="s">
        <v>16</v>
      </c>
      <c r="BK77" t="s">
        <v>16</v>
      </c>
      <c r="BL77" t="s">
        <v>16</v>
      </c>
      <c r="BN77" t="s">
        <v>16</v>
      </c>
      <c r="BP77" t="s">
        <v>16</v>
      </c>
      <c r="BS77">
        <v>0.64078784185326698</v>
      </c>
      <c r="BT77" t="s">
        <v>16</v>
      </c>
      <c r="BV77">
        <v>0.85990089004601</v>
      </c>
      <c r="BW77">
        <v>0.68441449275362298</v>
      </c>
      <c r="BX77" t="s">
        <v>16</v>
      </c>
      <c r="BY77" t="s">
        <v>16</v>
      </c>
      <c r="CA77" t="s">
        <v>16</v>
      </c>
      <c r="CB77" t="s">
        <v>16</v>
      </c>
      <c r="CD77" t="s">
        <v>16</v>
      </c>
      <c r="CF77" t="s">
        <v>16</v>
      </c>
      <c r="CG77" t="s">
        <v>16</v>
      </c>
      <c r="CI77">
        <f t="shared" si="5"/>
        <v>0</v>
      </c>
      <c r="CJ77">
        <f t="shared" si="3"/>
        <v>0.5469292806177557</v>
      </c>
      <c r="CK77">
        <f t="shared" si="4"/>
        <v>0.77215769139981649</v>
      </c>
    </row>
    <row r="78" spans="1:89" x14ac:dyDescent="0.25">
      <c r="A78" t="s">
        <v>110</v>
      </c>
      <c r="B78">
        <v>1</v>
      </c>
      <c r="C78" s="1">
        <v>10</v>
      </c>
      <c r="D78" s="3">
        <v>3</v>
      </c>
      <c r="E78" s="3">
        <v>3</v>
      </c>
      <c r="F78" s="3">
        <v>3</v>
      </c>
      <c r="G78" s="3">
        <v>3</v>
      </c>
      <c r="AH78" t="s">
        <v>16</v>
      </c>
      <c r="AI78" t="s">
        <v>16</v>
      </c>
      <c r="AL78" t="s">
        <v>16</v>
      </c>
      <c r="AP78">
        <v>1</v>
      </c>
      <c r="AW78" t="s">
        <v>16</v>
      </c>
      <c r="AX78" t="s">
        <v>16</v>
      </c>
      <c r="AZ78" t="s">
        <v>16</v>
      </c>
      <c r="BB78" t="s">
        <v>16</v>
      </c>
      <c r="BD78" t="s">
        <v>16</v>
      </c>
      <c r="BF78">
        <v>0.471440634203106</v>
      </c>
      <c r="BH78" t="s">
        <v>16</v>
      </c>
      <c r="BK78" t="s">
        <v>16</v>
      </c>
      <c r="BL78" t="s">
        <v>16</v>
      </c>
      <c r="BN78" t="s">
        <v>16</v>
      </c>
      <c r="BP78" t="s">
        <v>16</v>
      </c>
      <c r="BS78">
        <v>1</v>
      </c>
      <c r="BT78" t="s">
        <v>16</v>
      </c>
      <c r="BV78">
        <v>0.93331907571373895</v>
      </c>
      <c r="BW78">
        <v>0.60797101449275304</v>
      </c>
      <c r="BX78" t="s">
        <v>16</v>
      </c>
      <c r="BY78" t="s">
        <v>16</v>
      </c>
      <c r="CA78" t="s">
        <v>16</v>
      </c>
      <c r="CB78" t="s">
        <v>16</v>
      </c>
      <c r="CD78" t="s">
        <v>16</v>
      </c>
      <c r="CF78" t="s">
        <v>16</v>
      </c>
      <c r="CG78" t="s">
        <v>16</v>
      </c>
      <c r="CI78">
        <f t="shared" si="5"/>
        <v>0</v>
      </c>
      <c r="CJ78">
        <f t="shared" si="3"/>
        <v>0.82381354473436863</v>
      </c>
      <c r="CK78">
        <f t="shared" si="4"/>
        <v>0.77064504510324605</v>
      </c>
    </row>
    <row r="79" spans="1:89" x14ac:dyDescent="0.25">
      <c r="A79" t="s">
        <v>45</v>
      </c>
      <c r="B79">
        <v>1</v>
      </c>
      <c r="C79" s="1">
        <v>5</v>
      </c>
      <c r="D79" s="3">
        <v>1</v>
      </c>
      <c r="E79" s="3">
        <v>3</v>
      </c>
      <c r="F79" s="3">
        <v>1</v>
      </c>
      <c r="G79" s="3">
        <v>2</v>
      </c>
      <c r="AH79" t="s">
        <v>16</v>
      </c>
      <c r="AI79" t="s">
        <v>16</v>
      </c>
      <c r="AL79" t="s">
        <v>16</v>
      </c>
      <c r="AP79" t="s">
        <v>16</v>
      </c>
      <c r="AW79" t="s">
        <v>16</v>
      </c>
      <c r="AX79" t="s">
        <v>16</v>
      </c>
      <c r="AZ79" t="s">
        <v>16</v>
      </c>
      <c r="BB79" t="s">
        <v>16</v>
      </c>
      <c r="BD79" t="s">
        <v>16</v>
      </c>
      <c r="BF79">
        <v>0.83563525855536303</v>
      </c>
      <c r="BH79" t="s">
        <v>16</v>
      </c>
      <c r="BK79" t="s">
        <v>16</v>
      </c>
      <c r="BL79" t="s">
        <v>16</v>
      </c>
      <c r="BN79" t="s">
        <v>16</v>
      </c>
      <c r="BP79" t="s">
        <v>16</v>
      </c>
      <c r="BS79" t="s">
        <v>16</v>
      </c>
      <c r="BT79" t="s">
        <v>16</v>
      </c>
      <c r="BV79">
        <v>0.87231720046047301</v>
      </c>
      <c r="BW79">
        <v>0.36862745098039201</v>
      </c>
      <c r="BX79" t="s">
        <v>16</v>
      </c>
      <c r="BY79" t="s">
        <v>16</v>
      </c>
      <c r="CA79" t="s">
        <v>16</v>
      </c>
      <c r="CB79" t="s">
        <v>16</v>
      </c>
      <c r="CD79" t="s">
        <v>16</v>
      </c>
      <c r="CF79" t="s">
        <v>16</v>
      </c>
      <c r="CG79" t="s">
        <v>16</v>
      </c>
      <c r="CI79">
        <f t="shared" si="5"/>
        <v>0</v>
      </c>
      <c r="CJ79">
        <f t="shared" si="3"/>
        <v>0.83563525855536303</v>
      </c>
      <c r="CK79">
        <f t="shared" si="4"/>
        <v>0.62047232572043254</v>
      </c>
    </row>
    <row r="80" spans="1:89" x14ac:dyDescent="0.25">
      <c r="A80" t="s">
        <v>43</v>
      </c>
      <c r="B80" t="s">
        <v>70</v>
      </c>
      <c r="C80" s="1">
        <v>7</v>
      </c>
      <c r="D80" s="3">
        <v>2</v>
      </c>
      <c r="E80" s="3">
        <v>1</v>
      </c>
      <c r="F80" s="3">
        <v>1</v>
      </c>
      <c r="G80" s="3">
        <v>2</v>
      </c>
      <c r="AH80">
        <v>0.95977011494252795</v>
      </c>
      <c r="AI80">
        <v>0.96172248803827698</v>
      </c>
      <c r="AL80" t="s">
        <v>16</v>
      </c>
      <c r="AP80" t="s">
        <v>16</v>
      </c>
      <c r="AW80">
        <v>0</v>
      </c>
      <c r="AX80">
        <v>0</v>
      </c>
      <c r="AZ80" t="s">
        <v>16</v>
      </c>
      <c r="BB80" t="s">
        <v>16</v>
      </c>
      <c r="BD80">
        <v>0.79310344827586199</v>
      </c>
      <c r="BF80">
        <v>0.90352442841370895</v>
      </c>
      <c r="BH80" t="s">
        <v>16</v>
      </c>
      <c r="BK80" t="s">
        <v>16</v>
      </c>
      <c r="BL80">
        <v>0.97648013117607002</v>
      </c>
      <c r="BN80">
        <v>0.68972083333333301</v>
      </c>
      <c r="BP80">
        <v>0.86078170907696105</v>
      </c>
      <c r="BS80" t="s">
        <v>16</v>
      </c>
      <c r="BT80" t="s">
        <v>16</v>
      </c>
      <c r="BV80" t="s">
        <v>16</v>
      </c>
      <c r="BW80" t="s">
        <v>16</v>
      </c>
      <c r="BX80">
        <v>0.58112857142857099</v>
      </c>
      <c r="BY80" t="s">
        <v>16</v>
      </c>
      <c r="CA80">
        <v>0.97496197709043697</v>
      </c>
      <c r="CB80" t="s">
        <v>16</v>
      </c>
      <c r="CD80" t="s">
        <v>16</v>
      </c>
      <c r="CF80" t="s">
        <v>16</v>
      </c>
      <c r="CG80">
        <v>1</v>
      </c>
      <c r="CI80">
        <f t="shared" si="5"/>
        <v>0.91507555206672553</v>
      </c>
      <c r="CJ80">
        <f t="shared" si="3"/>
        <v>0.30117480947123632</v>
      </c>
      <c r="CK80">
        <f t="shared" si="4"/>
        <v>0.80557287825710266</v>
      </c>
    </row>
    <row r="81" spans="1:89" x14ac:dyDescent="0.25">
      <c r="A81" t="s">
        <v>111</v>
      </c>
      <c r="B81">
        <v>1</v>
      </c>
      <c r="C81" s="1">
        <v>10</v>
      </c>
      <c r="D81" s="3">
        <v>2</v>
      </c>
      <c r="E81" s="3">
        <v>3</v>
      </c>
      <c r="F81" s="3">
        <v>1</v>
      </c>
      <c r="G81" s="3">
        <v>2</v>
      </c>
      <c r="AH81" t="s">
        <v>16</v>
      </c>
      <c r="AI81" t="s">
        <v>16</v>
      </c>
      <c r="AL81" t="s">
        <v>16</v>
      </c>
      <c r="AP81">
        <v>1</v>
      </c>
      <c r="AW81" t="s">
        <v>16</v>
      </c>
      <c r="AX81" t="s">
        <v>16</v>
      </c>
      <c r="AZ81" t="s">
        <v>16</v>
      </c>
      <c r="BB81" t="s">
        <v>16</v>
      </c>
      <c r="BD81" t="s">
        <v>16</v>
      </c>
      <c r="BF81">
        <v>0.79223034653129298</v>
      </c>
      <c r="BH81" t="s">
        <v>16</v>
      </c>
      <c r="BK81" t="s">
        <v>16</v>
      </c>
      <c r="BL81" t="s">
        <v>16</v>
      </c>
      <c r="BN81" t="s">
        <v>16</v>
      </c>
      <c r="BP81" t="s">
        <v>16</v>
      </c>
      <c r="BS81">
        <v>1</v>
      </c>
      <c r="BT81" t="s">
        <v>16</v>
      </c>
      <c r="BV81">
        <v>0.83478118003755697</v>
      </c>
      <c r="BW81">
        <v>0.79449999999999998</v>
      </c>
      <c r="BX81" t="s">
        <v>16</v>
      </c>
      <c r="BY81" t="s">
        <v>16</v>
      </c>
      <c r="CA81" t="s">
        <v>16</v>
      </c>
      <c r="CB81" t="s">
        <v>16</v>
      </c>
      <c r="CD81" t="s">
        <v>16</v>
      </c>
      <c r="CF81" t="s">
        <v>16</v>
      </c>
      <c r="CG81" t="s">
        <v>16</v>
      </c>
      <c r="CI81">
        <f t="shared" si="5"/>
        <v>0</v>
      </c>
      <c r="CJ81">
        <f t="shared" si="3"/>
        <v>0.93074344884376436</v>
      </c>
      <c r="CK81">
        <f t="shared" si="4"/>
        <v>0.81464059001877853</v>
      </c>
    </row>
    <row r="82" spans="1:89" x14ac:dyDescent="0.25">
      <c r="A82" t="s">
        <v>38</v>
      </c>
      <c r="B82">
        <v>4</v>
      </c>
      <c r="C82" s="1"/>
      <c r="D82" s="3"/>
      <c r="E82" s="3"/>
      <c r="F82" s="3"/>
      <c r="G82" s="3"/>
      <c r="AH82" t="s">
        <v>16</v>
      </c>
      <c r="AI82" t="s">
        <v>16</v>
      </c>
      <c r="AL82" t="s">
        <v>16</v>
      </c>
      <c r="AP82" t="s">
        <v>16</v>
      </c>
      <c r="AW82" t="s">
        <v>16</v>
      </c>
      <c r="AX82" t="s">
        <v>16</v>
      </c>
      <c r="AZ82" t="s">
        <v>16</v>
      </c>
      <c r="BB82" t="s">
        <v>16</v>
      </c>
      <c r="BD82" t="s">
        <v>16</v>
      </c>
      <c r="BF82" t="s">
        <v>16</v>
      </c>
      <c r="BH82" t="s">
        <v>16</v>
      </c>
      <c r="BK82" t="s">
        <v>16</v>
      </c>
      <c r="BL82" t="s">
        <v>16</v>
      </c>
      <c r="BN82" t="s">
        <v>16</v>
      </c>
      <c r="BP82" t="s">
        <v>16</v>
      </c>
      <c r="BS82" t="s">
        <v>16</v>
      </c>
      <c r="BT82" t="s">
        <v>16</v>
      </c>
      <c r="BV82" t="s">
        <v>16</v>
      </c>
      <c r="BW82" t="s">
        <v>16</v>
      </c>
      <c r="BX82" t="s">
        <v>16</v>
      </c>
      <c r="BY82" t="s">
        <v>16</v>
      </c>
      <c r="CA82" t="s">
        <v>16</v>
      </c>
      <c r="CB82" t="s">
        <v>16</v>
      </c>
      <c r="CD82" t="s">
        <v>16</v>
      </c>
      <c r="CF82" t="s">
        <v>16</v>
      </c>
      <c r="CG82" t="s">
        <v>16</v>
      </c>
      <c r="CI82">
        <f t="shared" si="5"/>
        <v>0</v>
      </c>
      <c r="CJ82">
        <f t="shared" si="3"/>
        <v>0</v>
      </c>
      <c r="CK82">
        <f t="shared" si="4"/>
        <v>0</v>
      </c>
    </row>
    <row r="83" spans="1:89" x14ac:dyDescent="0.25">
      <c r="A83" t="s">
        <v>104</v>
      </c>
      <c r="B83">
        <v>1</v>
      </c>
      <c r="C83" s="1">
        <v>8</v>
      </c>
      <c r="D83" s="3">
        <v>3</v>
      </c>
      <c r="E83" s="3">
        <v>2</v>
      </c>
      <c r="F83" s="3">
        <v>2</v>
      </c>
      <c r="G83" s="3">
        <v>3</v>
      </c>
      <c r="AH83" t="s">
        <v>16</v>
      </c>
      <c r="AI83" t="s">
        <v>16</v>
      </c>
      <c r="AL83" t="s">
        <v>16</v>
      </c>
      <c r="AP83">
        <v>1</v>
      </c>
      <c r="AW83">
        <v>0</v>
      </c>
      <c r="AX83" t="s">
        <v>16</v>
      </c>
      <c r="AZ83" t="s">
        <v>16</v>
      </c>
      <c r="BB83" t="s">
        <v>16</v>
      </c>
      <c r="BD83" t="s">
        <v>16</v>
      </c>
      <c r="BF83">
        <v>7.1021845219932198E-2</v>
      </c>
      <c r="BH83" t="s">
        <v>16</v>
      </c>
      <c r="BK83" t="s">
        <v>16</v>
      </c>
      <c r="BL83" t="s">
        <v>16</v>
      </c>
      <c r="BN83" t="s">
        <v>16</v>
      </c>
      <c r="BP83" t="s">
        <v>16</v>
      </c>
      <c r="BS83">
        <v>1</v>
      </c>
      <c r="BT83" t="s">
        <v>16</v>
      </c>
      <c r="BV83">
        <v>0.81520696696560802</v>
      </c>
      <c r="BW83">
        <v>0.53520178571428501</v>
      </c>
      <c r="BX83" t="s">
        <v>16</v>
      </c>
      <c r="BY83" t="s">
        <v>16</v>
      </c>
      <c r="CA83" t="s">
        <v>16</v>
      </c>
      <c r="CB83" t="s">
        <v>16</v>
      </c>
      <c r="CD83" t="s">
        <v>16</v>
      </c>
      <c r="CF83" t="s">
        <v>16</v>
      </c>
      <c r="CG83" t="s">
        <v>16</v>
      </c>
      <c r="CI83">
        <f t="shared" si="5"/>
        <v>0</v>
      </c>
      <c r="CJ83">
        <f t="shared" si="3"/>
        <v>0.51775546130498307</v>
      </c>
      <c r="CK83">
        <f t="shared" si="4"/>
        <v>0.67520437633994645</v>
      </c>
    </row>
    <row r="84" spans="1:89" x14ac:dyDescent="0.25">
      <c r="A84" t="s">
        <v>68</v>
      </c>
      <c r="B84" t="s">
        <v>55</v>
      </c>
      <c r="C84" s="1">
        <v>6</v>
      </c>
      <c r="D84" s="3">
        <v>2</v>
      </c>
      <c r="E84" s="3">
        <v>2</v>
      </c>
      <c r="F84" s="3">
        <v>2</v>
      </c>
      <c r="G84" s="3">
        <v>1</v>
      </c>
      <c r="AH84">
        <v>0.61538461538461497</v>
      </c>
      <c r="AI84" t="s">
        <v>16</v>
      </c>
      <c r="AL84">
        <v>1</v>
      </c>
      <c r="AP84" t="s">
        <v>16</v>
      </c>
      <c r="AW84" t="s">
        <v>16</v>
      </c>
      <c r="AX84">
        <v>0</v>
      </c>
      <c r="AZ84" t="s">
        <v>16</v>
      </c>
      <c r="BB84" t="s">
        <v>16</v>
      </c>
      <c r="BD84">
        <v>0.80314960629921195</v>
      </c>
      <c r="BF84">
        <v>0.50634965869968596</v>
      </c>
      <c r="BH84" t="s">
        <v>16</v>
      </c>
      <c r="BK84" t="s">
        <v>16</v>
      </c>
      <c r="BL84" t="s">
        <v>16</v>
      </c>
      <c r="BN84">
        <v>0.82265633748579803</v>
      </c>
      <c r="BP84">
        <v>0.57499999999999996</v>
      </c>
      <c r="BS84">
        <v>0.34860254189645501</v>
      </c>
      <c r="BT84" t="s">
        <v>16</v>
      </c>
      <c r="BV84" t="s">
        <v>16</v>
      </c>
      <c r="BW84">
        <v>0.92536336173616796</v>
      </c>
      <c r="BX84" t="s">
        <v>16</v>
      </c>
      <c r="BY84">
        <v>0.34883720930232498</v>
      </c>
      <c r="CA84" t="s">
        <v>16</v>
      </c>
      <c r="CB84" t="s">
        <v>16</v>
      </c>
      <c r="CD84" t="s">
        <v>16</v>
      </c>
      <c r="CF84">
        <v>0.98983858900497601</v>
      </c>
      <c r="CG84">
        <v>0.88235294117647001</v>
      </c>
      <c r="CI84">
        <f t="shared" si="5"/>
        <v>0.64494487443252435</v>
      </c>
      <c r="CJ84">
        <f t="shared" si="3"/>
        <v>0.46373805014903524</v>
      </c>
      <c r="CK84">
        <f t="shared" si="4"/>
        <v>0.91261942940898066</v>
      </c>
    </row>
    <row r="85" spans="1:89" x14ac:dyDescent="0.25">
      <c r="A85" t="s">
        <v>86</v>
      </c>
      <c r="B85">
        <v>3</v>
      </c>
      <c r="C85" s="1"/>
      <c r="D85" s="3">
        <v>2</v>
      </c>
      <c r="E85" s="3">
        <v>2</v>
      </c>
      <c r="F85" s="3">
        <v>1</v>
      </c>
      <c r="G85" s="3">
        <v>3</v>
      </c>
      <c r="AH85" t="s">
        <v>16</v>
      </c>
      <c r="AI85" t="s">
        <v>16</v>
      </c>
      <c r="AL85" t="s">
        <v>16</v>
      </c>
      <c r="AP85" t="s">
        <v>16</v>
      </c>
      <c r="AW85" t="s">
        <v>16</v>
      </c>
      <c r="AX85" t="s">
        <v>16</v>
      </c>
      <c r="AZ85">
        <v>0.96932515337423297</v>
      </c>
      <c r="BB85">
        <v>0.86428571428571399</v>
      </c>
      <c r="BD85" t="s">
        <v>16</v>
      </c>
      <c r="BF85" t="s">
        <v>16</v>
      </c>
      <c r="BH85">
        <v>0.75572519083969403</v>
      </c>
      <c r="BK85" t="s">
        <v>16</v>
      </c>
      <c r="BL85" t="s">
        <v>16</v>
      </c>
      <c r="BN85" t="s">
        <v>16</v>
      </c>
      <c r="BP85" t="s">
        <v>16</v>
      </c>
      <c r="BS85" t="s">
        <v>16</v>
      </c>
      <c r="BT85">
        <v>0.835748792270531</v>
      </c>
      <c r="BV85" t="s">
        <v>16</v>
      </c>
      <c r="BW85">
        <v>0.96922446128008799</v>
      </c>
      <c r="BX85" t="s">
        <v>16</v>
      </c>
      <c r="BY85" t="s">
        <v>16</v>
      </c>
      <c r="CA85" t="s">
        <v>16</v>
      </c>
      <c r="CB85" t="s">
        <v>16</v>
      </c>
      <c r="CD85">
        <v>0.67518248175182405</v>
      </c>
      <c r="CF85" t="s">
        <v>16</v>
      </c>
      <c r="CG85" t="s">
        <v>16</v>
      </c>
      <c r="CI85">
        <f t="shared" si="5"/>
        <v>0.82005346650439925</v>
      </c>
      <c r="CJ85">
        <f t="shared" si="3"/>
        <v>0</v>
      </c>
      <c r="CK85">
        <f t="shared" si="4"/>
        <v>0.96922446128008799</v>
      </c>
    </row>
    <row r="86" spans="1:89" x14ac:dyDescent="0.25">
      <c r="A86" t="s">
        <v>90</v>
      </c>
      <c r="B86">
        <v>3</v>
      </c>
      <c r="C86" s="1"/>
      <c r="D86" s="3">
        <v>2</v>
      </c>
      <c r="E86" s="3">
        <v>1</v>
      </c>
      <c r="F86" s="3">
        <v>2</v>
      </c>
      <c r="G86" s="3">
        <v>2</v>
      </c>
      <c r="AH86" t="s">
        <v>16</v>
      </c>
      <c r="AI86" t="s">
        <v>16</v>
      </c>
      <c r="AL86" t="s">
        <v>16</v>
      </c>
      <c r="AP86" t="s">
        <v>16</v>
      </c>
      <c r="AW86" t="s">
        <v>16</v>
      </c>
      <c r="AX86" t="s">
        <v>16</v>
      </c>
      <c r="AZ86">
        <v>0.95811518324607303</v>
      </c>
      <c r="BB86">
        <v>0.85826771653543299</v>
      </c>
      <c r="BD86" t="s">
        <v>16</v>
      </c>
      <c r="BF86" t="s">
        <v>16</v>
      </c>
      <c r="BH86">
        <v>0.859649122807017</v>
      </c>
      <c r="BK86" t="s">
        <v>16</v>
      </c>
      <c r="BL86" t="s">
        <v>16</v>
      </c>
      <c r="BN86">
        <v>0.94100379588211003</v>
      </c>
      <c r="BP86" t="s">
        <v>16</v>
      </c>
      <c r="BS86" t="s">
        <v>16</v>
      </c>
      <c r="BT86">
        <v>0.85135135135135098</v>
      </c>
      <c r="BV86" t="s">
        <v>16</v>
      </c>
      <c r="BW86">
        <v>0.85321783721979905</v>
      </c>
      <c r="BX86" t="s">
        <v>16</v>
      </c>
      <c r="BY86" t="s">
        <v>16</v>
      </c>
      <c r="CA86" t="s">
        <v>16</v>
      </c>
      <c r="CB86">
        <v>0.61290322580645096</v>
      </c>
      <c r="CD86">
        <v>0.73863636363636298</v>
      </c>
      <c r="CF86" t="s">
        <v>16</v>
      </c>
      <c r="CG86" t="s">
        <v>16</v>
      </c>
      <c r="CI86">
        <f t="shared" si="5"/>
        <v>0.81315382723044793</v>
      </c>
      <c r="CJ86">
        <f t="shared" si="3"/>
        <v>0</v>
      </c>
      <c r="CK86">
        <f t="shared" si="4"/>
        <v>0.89711081655095448</v>
      </c>
    </row>
    <row r="87" spans="1:89" x14ac:dyDescent="0.25">
      <c r="A87" t="s">
        <v>81</v>
      </c>
      <c r="B87">
        <v>3</v>
      </c>
      <c r="C87" s="1"/>
      <c r="D87" s="3">
        <v>3</v>
      </c>
      <c r="E87" s="3">
        <v>2</v>
      </c>
      <c r="F87" s="3">
        <v>3</v>
      </c>
      <c r="G87" s="3">
        <v>3</v>
      </c>
      <c r="AH87" t="s">
        <v>16</v>
      </c>
      <c r="AI87" t="s">
        <v>16</v>
      </c>
      <c r="AL87" t="s">
        <v>16</v>
      </c>
      <c r="AP87" t="s">
        <v>16</v>
      </c>
      <c r="AW87" t="s">
        <v>16</v>
      </c>
      <c r="AX87" t="s">
        <v>16</v>
      </c>
      <c r="AZ87">
        <v>0.92222222222222205</v>
      </c>
      <c r="BB87">
        <v>0.83076923076923004</v>
      </c>
      <c r="BD87" t="s">
        <v>16</v>
      </c>
      <c r="BF87" t="s">
        <v>16</v>
      </c>
      <c r="BH87" t="s">
        <v>16</v>
      </c>
      <c r="BK87" t="s">
        <v>16</v>
      </c>
      <c r="BL87" t="s">
        <v>16</v>
      </c>
      <c r="BN87">
        <v>0.98383603758683802</v>
      </c>
      <c r="BP87" t="s">
        <v>16</v>
      </c>
      <c r="BS87" t="s">
        <v>16</v>
      </c>
      <c r="BT87">
        <v>0.94029850746268595</v>
      </c>
      <c r="BV87" t="s">
        <v>16</v>
      </c>
      <c r="BW87" t="s">
        <v>16</v>
      </c>
      <c r="BX87" t="s">
        <v>16</v>
      </c>
      <c r="BY87" t="s">
        <v>16</v>
      </c>
      <c r="CA87" t="s">
        <v>16</v>
      </c>
      <c r="CB87">
        <v>0.51351351351351304</v>
      </c>
      <c r="CD87">
        <v>0.80208333333333304</v>
      </c>
      <c r="CF87" t="s">
        <v>16</v>
      </c>
      <c r="CG87" t="s">
        <v>16</v>
      </c>
      <c r="CI87">
        <f t="shared" si="5"/>
        <v>0.80177736146019674</v>
      </c>
      <c r="CJ87">
        <f t="shared" si="3"/>
        <v>0</v>
      </c>
      <c r="CK87">
        <f t="shared" si="4"/>
        <v>0.98383603758683802</v>
      </c>
    </row>
    <row r="88" spans="1:89" x14ac:dyDescent="0.25">
      <c r="A88" t="s">
        <v>60</v>
      </c>
      <c r="B88" t="s">
        <v>55</v>
      </c>
      <c r="C88" s="1">
        <v>3</v>
      </c>
      <c r="D88" s="3">
        <v>1</v>
      </c>
      <c r="E88" s="3">
        <v>1</v>
      </c>
      <c r="F88" s="3">
        <v>1</v>
      </c>
      <c r="G88" s="3">
        <v>1</v>
      </c>
      <c r="AH88">
        <v>0.67441860465116199</v>
      </c>
      <c r="AI88">
        <v>0.85915492957746398</v>
      </c>
      <c r="AL88" t="s">
        <v>16</v>
      </c>
      <c r="AP88" t="s">
        <v>16</v>
      </c>
      <c r="AW88">
        <v>0</v>
      </c>
      <c r="AX88">
        <v>1</v>
      </c>
      <c r="AZ88" t="s">
        <v>16</v>
      </c>
      <c r="BB88" t="s">
        <v>16</v>
      </c>
      <c r="BD88">
        <v>0.80434782608695599</v>
      </c>
      <c r="BF88">
        <v>0.67324212522776505</v>
      </c>
      <c r="BH88" t="s">
        <v>16</v>
      </c>
      <c r="BK88" t="s">
        <v>16</v>
      </c>
      <c r="BL88" t="s">
        <v>16</v>
      </c>
      <c r="BN88">
        <v>0.76672346796549296</v>
      </c>
      <c r="BP88">
        <v>0.54320987654320896</v>
      </c>
      <c r="BS88">
        <v>0.34860254189645501</v>
      </c>
      <c r="BT88" t="s">
        <v>16</v>
      </c>
      <c r="BV88" t="s">
        <v>16</v>
      </c>
      <c r="BW88">
        <v>0.96341538241107505</v>
      </c>
      <c r="BX88" t="s">
        <v>16</v>
      </c>
      <c r="BY88">
        <v>0.46875</v>
      </c>
      <c r="CA88" t="s">
        <v>16</v>
      </c>
      <c r="CB88" t="s">
        <v>16</v>
      </c>
      <c r="CD88" t="s">
        <v>16</v>
      </c>
      <c r="CF88">
        <v>0.97855355568888303</v>
      </c>
      <c r="CG88" t="s">
        <v>16</v>
      </c>
      <c r="CI88">
        <f t="shared" si="5"/>
        <v>0.6699762473717582</v>
      </c>
      <c r="CJ88">
        <f t="shared" si="3"/>
        <v>0.50546116678105502</v>
      </c>
      <c r="CK88">
        <f t="shared" si="4"/>
        <v>0.90289746868848375</v>
      </c>
    </row>
    <row r="89" spans="1:89" x14ac:dyDescent="0.25">
      <c r="A89" t="s">
        <v>103</v>
      </c>
      <c r="B89">
        <v>1</v>
      </c>
      <c r="C89" s="1">
        <v>10</v>
      </c>
      <c r="D89" s="3">
        <v>3</v>
      </c>
      <c r="E89" s="3">
        <v>2</v>
      </c>
      <c r="F89" s="3">
        <v>2</v>
      </c>
      <c r="G89" s="3">
        <v>3</v>
      </c>
      <c r="AH89" t="s">
        <v>16</v>
      </c>
      <c r="AI89" t="s">
        <v>16</v>
      </c>
      <c r="AL89" t="s">
        <v>16</v>
      </c>
      <c r="AP89" t="s">
        <v>16</v>
      </c>
      <c r="AW89" t="s">
        <v>16</v>
      </c>
      <c r="AX89" t="s">
        <v>16</v>
      </c>
      <c r="AZ89" t="s">
        <v>16</v>
      </c>
      <c r="BB89" t="s">
        <v>16</v>
      </c>
      <c r="BD89" t="s">
        <v>16</v>
      </c>
      <c r="BF89">
        <v>0.83563525855536303</v>
      </c>
      <c r="BH89" t="s">
        <v>16</v>
      </c>
      <c r="BK89" t="s">
        <v>16</v>
      </c>
      <c r="BL89" t="s">
        <v>16</v>
      </c>
      <c r="BN89" t="s">
        <v>16</v>
      </c>
      <c r="BP89" t="s">
        <v>16</v>
      </c>
      <c r="BS89">
        <v>1</v>
      </c>
      <c r="BT89" t="s">
        <v>16</v>
      </c>
      <c r="BV89" t="s">
        <v>16</v>
      </c>
      <c r="BW89">
        <v>0.55113774509803903</v>
      </c>
      <c r="BX89" t="s">
        <v>16</v>
      </c>
      <c r="BY89" t="s">
        <v>16</v>
      </c>
      <c r="CA89" t="s">
        <v>16</v>
      </c>
      <c r="CB89" t="s">
        <v>16</v>
      </c>
      <c r="CD89" t="s">
        <v>16</v>
      </c>
      <c r="CF89" t="s">
        <v>16</v>
      </c>
      <c r="CG89" t="s">
        <v>16</v>
      </c>
      <c r="CI89">
        <f t="shared" si="5"/>
        <v>0</v>
      </c>
      <c r="CJ89">
        <f t="shared" si="3"/>
        <v>0.91781762927768151</v>
      </c>
      <c r="CK89">
        <f t="shared" si="4"/>
        <v>0.55113774509803903</v>
      </c>
    </row>
    <row r="90" spans="1:89" x14ac:dyDescent="0.25">
      <c r="A90" t="s">
        <v>99</v>
      </c>
      <c r="B90">
        <v>1</v>
      </c>
      <c r="C90" s="1">
        <v>10</v>
      </c>
      <c r="D90" s="3">
        <v>1</v>
      </c>
      <c r="E90" s="3">
        <v>3</v>
      </c>
      <c r="F90" s="3">
        <v>2</v>
      </c>
      <c r="G90" s="3">
        <v>3</v>
      </c>
      <c r="AH90" t="s">
        <v>16</v>
      </c>
      <c r="AI90" t="s">
        <v>16</v>
      </c>
      <c r="AL90" t="s">
        <v>16</v>
      </c>
      <c r="AP90">
        <v>0.65830420284748303</v>
      </c>
      <c r="AW90" t="s">
        <v>16</v>
      </c>
      <c r="AX90" t="s">
        <v>16</v>
      </c>
      <c r="AZ90" t="s">
        <v>16</v>
      </c>
      <c r="BB90" t="s">
        <v>16</v>
      </c>
      <c r="BD90" t="s">
        <v>16</v>
      </c>
      <c r="BF90">
        <v>0.49238047538232399</v>
      </c>
      <c r="BH90" t="s">
        <v>16</v>
      </c>
      <c r="BK90" t="s">
        <v>16</v>
      </c>
      <c r="BL90" t="s">
        <v>16</v>
      </c>
      <c r="BN90" t="s">
        <v>16</v>
      </c>
      <c r="BP90" t="s">
        <v>16</v>
      </c>
      <c r="BS90" t="s">
        <v>16</v>
      </c>
      <c r="BT90" t="s">
        <v>16</v>
      </c>
      <c r="BV90">
        <v>0.80105399441011005</v>
      </c>
      <c r="BW90" t="s">
        <v>16</v>
      </c>
      <c r="BX90" t="s">
        <v>16</v>
      </c>
      <c r="BY90" t="s">
        <v>16</v>
      </c>
      <c r="CA90" t="s">
        <v>16</v>
      </c>
      <c r="CB90" t="s">
        <v>16</v>
      </c>
      <c r="CD90" t="s">
        <v>16</v>
      </c>
      <c r="CF90" t="s">
        <v>16</v>
      </c>
      <c r="CG90" t="s">
        <v>16</v>
      </c>
      <c r="CI90">
        <f t="shared" si="5"/>
        <v>0</v>
      </c>
      <c r="CJ90">
        <f t="shared" si="3"/>
        <v>0.57534233911490351</v>
      </c>
      <c r="CK90">
        <f t="shared" si="4"/>
        <v>0.80105399441011005</v>
      </c>
    </row>
    <row r="91" spans="1:89" x14ac:dyDescent="0.25">
      <c r="A91" t="s">
        <v>115</v>
      </c>
      <c r="B91">
        <v>3</v>
      </c>
      <c r="C91" s="1"/>
      <c r="D91" s="3">
        <v>2</v>
      </c>
      <c r="E91" s="3">
        <v>1</v>
      </c>
      <c r="F91" s="3">
        <v>3</v>
      </c>
      <c r="G91" s="3">
        <v>2</v>
      </c>
      <c r="AH91" t="s">
        <v>16</v>
      </c>
      <c r="AI91" t="s">
        <v>16</v>
      </c>
      <c r="AL91" t="s">
        <v>16</v>
      </c>
      <c r="AP91" t="s">
        <v>16</v>
      </c>
      <c r="AW91" t="s">
        <v>16</v>
      </c>
      <c r="AX91" t="s">
        <v>16</v>
      </c>
      <c r="AZ91">
        <v>0.62307692307692297</v>
      </c>
      <c r="BB91">
        <v>0.79411764705882304</v>
      </c>
      <c r="BD91" t="s">
        <v>16</v>
      </c>
      <c r="BF91" t="s">
        <v>16</v>
      </c>
      <c r="BH91" t="s">
        <v>16</v>
      </c>
      <c r="BK91" t="s">
        <v>16</v>
      </c>
      <c r="BL91" t="s">
        <v>16</v>
      </c>
      <c r="BN91" t="s">
        <v>16</v>
      </c>
      <c r="BP91" t="s">
        <v>16</v>
      </c>
      <c r="BS91" t="s">
        <v>16</v>
      </c>
      <c r="BT91">
        <v>0.74647887323943596</v>
      </c>
      <c r="BV91" t="s">
        <v>16</v>
      </c>
      <c r="BW91" t="s">
        <v>16</v>
      </c>
      <c r="BX91" t="s">
        <v>16</v>
      </c>
      <c r="BY91" t="s">
        <v>16</v>
      </c>
      <c r="CA91" t="s">
        <v>16</v>
      </c>
      <c r="CB91">
        <v>0.47058823529411697</v>
      </c>
      <c r="CD91">
        <v>0.434782608695652</v>
      </c>
      <c r="CF91" t="s">
        <v>16</v>
      </c>
      <c r="CG91" t="s">
        <v>16</v>
      </c>
      <c r="CI91">
        <f t="shared" si="5"/>
        <v>0.61380885747299019</v>
      </c>
      <c r="CJ91">
        <f t="shared" si="3"/>
        <v>0</v>
      </c>
      <c r="CK91">
        <f t="shared" si="4"/>
        <v>0</v>
      </c>
    </row>
    <row r="92" spans="1:89" x14ac:dyDescent="0.25">
      <c r="A92" t="s">
        <v>98</v>
      </c>
      <c r="B92">
        <v>1</v>
      </c>
      <c r="C92" s="1">
        <v>7</v>
      </c>
      <c r="D92" s="3">
        <v>1</v>
      </c>
      <c r="E92" s="3">
        <v>3</v>
      </c>
      <c r="F92" s="3">
        <v>1</v>
      </c>
      <c r="G92" s="3">
        <v>3</v>
      </c>
      <c r="AH92" t="s">
        <v>16</v>
      </c>
      <c r="AI92" t="s">
        <v>16</v>
      </c>
      <c r="AL92" t="s">
        <v>16</v>
      </c>
      <c r="AP92" t="s">
        <v>16</v>
      </c>
      <c r="AW92" t="s">
        <v>16</v>
      </c>
      <c r="AX92" t="s">
        <v>16</v>
      </c>
      <c r="AZ92" t="s">
        <v>16</v>
      </c>
      <c r="BB92" t="s">
        <v>16</v>
      </c>
      <c r="BD92" t="s">
        <v>16</v>
      </c>
      <c r="BF92">
        <v>0.34860254189645501</v>
      </c>
      <c r="BH92" t="s">
        <v>16</v>
      </c>
      <c r="BK92" t="s">
        <v>16</v>
      </c>
      <c r="BL92" t="s">
        <v>16</v>
      </c>
      <c r="BN92" t="s">
        <v>16</v>
      </c>
      <c r="BP92" t="s">
        <v>16</v>
      </c>
      <c r="BS92">
        <v>1</v>
      </c>
      <c r="BT92" t="s">
        <v>16</v>
      </c>
      <c r="BV92">
        <v>0.80981544344714296</v>
      </c>
      <c r="BW92">
        <v>0.40490196078431301</v>
      </c>
      <c r="BX92" t="s">
        <v>16</v>
      </c>
      <c r="BY92" t="s">
        <v>16</v>
      </c>
      <c r="CA92" t="s">
        <v>16</v>
      </c>
      <c r="CB92" t="s">
        <v>16</v>
      </c>
      <c r="CD92" t="s">
        <v>16</v>
      </c>
      <c r="CF92" t="s">
        <v>16</v>
      </c>
      <c r="CG92" t="s">
        <v>16</v>
      </c>
      <c r="CI92">
        <f t="shared" si="5"/>
        <v>0</v>
      </c>
      <c r="CJ92">
        <f t="shared" si="3"/>
        <v>0.67430127094822745</v>
      </c>
      <c r="CK92">
        <f t="shared" si="4"/>
        <v>0.60735870211572796</v>
      </c>
    </row>
    <row r="93" spans="1:89" x14ac:dyDescent="0.25">
      <c r="A93" t="s">
        <v>116</v>
      </c>
      <c r="B93">
        <v>3</v>
      </c>
      <c r="C93" s="1"/>
      <c r="D93" s="3">
        <v>2</v>
      </c>
      <c r="E93" s="3">
        <v>2</v>
      </c>
      <c r="F93" s="3">
        <v>1</v>
      </c>
      <c r="G93" s="3">
        <v>1</v>
      </c>
      <c r="AH93" t="s">
        <v>16</v>
      </c>
      <c r="AI93" t="s">
        <v>16</v>
      </c>
      <c r="AL93" t="s">
        <v>16</v>
      </c>
      <c r="AP93" t="s">
        <v>16</v>
      </c>
      <c r="AW93" t="s">
        <v>16</v>
      </c>
      <c r="AX93" t="s">
        <v>16</v>
      </c>
      <c r="AZ93">
        <v>0.81818181818181801</v>
      </c>
      <c r="BB93">
        <v>0.81395348837209303</v>
      </c>
      <c r="BD93" t="s">
        <v>16</v>
      </c>
      <c r="BF93" t="s">
        <v>16</v>
      </c>
      <c r="BH93">
        <v>0.77777777777777701</v>
      </c>
      <c r="BK93" t="s">
        <v>16</v>
      </c>
      <c r="BL93" t="s">
        <v>16</v>
      </c>
      <c r="BN93" t="s">
        <v>16</v>
      </c>
      <c r="BP93" t="s">
        <v>16</v>
      </c>
      <c r="BS93" t="s">
        <v>16</v>
      </c>
      <c r="BT93">
        <v>0.80434782608695599</v>
      </c>
      <c r="BV93" t="s">
        <v>16</v>
      </c>
      <c r="BW93" t="s">
        <v>16</v>
      </c>
      <c r="BX93" t="s">
        <v>16</v>
      </c>
      <c r="BY93" t="s">
        <v>16</v>
      </c>
      <c r="CA93" t="s">
        <v>16</v>
      </c>
      <c r="CB93">
        <v>0.57142857142857095</v>
      </c>
      <c r="CD93">
        <v>0.42307692307692302</v>
      </c>
      <c r="CF93" t="s">
        <v>16</v>
      </c>
      <c r="CG93" t="s">
        <v>16</v>
      </c>
      <c r="CI93">
        <f t="shared" si="5"/>
        <v>0.70146106748735637</v>
      </c>
      <c r="CJ93">
        <f t="shared" si="3"/>
        <v>0</v>
      </c>
      <c r="CK93">
        <f t="shared" si="4"/>
        <v>0</v>
      </c>
    </row>
    <row r="94" spans="1:89" x14ac:dyDescent="0.25">
      <c r="A94" t="s">
        <v>26</v>
      </c>
      <c r="B94">
        <v>4</v>
      </c>
      <c r="C94" s="1"/>
      <c r="D94" s="3"/>
      <c r="E94" s="3"/>
      <c r="F94" s="3"/>
      <c r="G94" s="3"/>
      <c r="AH94" t="s">
        <v>16</v>
      </c>
      <c r="AI94" t="s">
        <v>16</v>
      </c>
      <c r="AL94" t="s">
        <v>16</v>
      </c>
      <c r="AP94" t="s">
        <v>16</v>
      </c>
      <c r="AW94" t="s">
        <v>16</v>
      </c>
      <c r="AX94" t="s">
        <v>16</v>
      </c>
      <c r="AZ94" t="s">
        <v>16</v>
      </c>
      <c r="BB94" t="s">
        <v>16</v>
      </c>
      <c r="BD94" t="s">
        <v>16</v>
      </c>
      <c r="BF94" t="s">
        <v>16</v>
      </c>
      <c r="BH94" t="s">
        <v>16</v>
      </c>
      <c r="BK94" t="s">
        <v>16</v>
      </c>
      <c r="BL94" t="s">
        <v>16</v>
      </c>
      <c r="BN94" t="s">
        <v>16</v>
      </c>
      <c r="BP94" t="s">
        <v>16</v>
      </c>
      <c r="BS94" t="s">
        <v>16</v>
      </c>
      <c r="BT94" t="s">
        <v>16</v>
      </c>
      <c r="BV94" t="s">
        <v>16</v>
      </c>
      <c r="BW94" t="s">
        <v>16</v>
      </c>
      <c r="BX94" t="s">
        <v>16</v>
      </c>
      <c r="BY94" t="s">
        <v>16</v>
      </c>
      <c r="CA94" t="s">
        <v>16</v>
      </c>
      <c r="CB94" t="s">
        <v>16</v>
      </c>
      <c r="CD94" t="s">
        <v>16</v>
      </c>
      <c r="CF94" t="s">
        <v>16</v>
      </c>
      <c r="CG94" t="s">
        <v>16</v>
      </c>
      <c r="CI94">
        <f t="shared" si="5"/>
        <v>0</v>
      </c>
      <c r="CJ94">
        <f t="shared" si="3"/>
        <v>0</v>
      </c>
      <c r="CK94">
        <f t="shared" si="4"/>
        <v>0</v>
      </c>
    </row>
    <row r="95" spans="1:89" x14ac:dyDescent="0.25">
      <c r="A95" t="s">
        <v>41</v>
      </c>
      <c r="B95" t="s">
        <v>70</v>
      </c>
      <c r="C95" s="1">
        <v>10</v>
      </c>
      <c r="D95" s="3">
        <v>2</v>
      </c>
      <c r="E95" s="3">
        <v>1</v>
      </c>
      <c r="F95" s="3">
        <v>1</v>
      </c>
      <c r="G95" s="3">
        <v>1</v>
      </c>
      <c r="AH95">
        <v>0.90886921253619501</v>
      </c>
      <c r="AI95">
        <v>0.94312409344216397</v>
      </c>
      <c r="AL95">
        <v>0.73750493749726898</v>
      </c>
      <c r="AP95" t="s">
        <v>16</v>
      </c>
      <c r="AW95">
        <v>0</v>
      </c>
      <c r="AX95" t="s">
        <v>16</v>
      </c>
      <c r="AZ95" t="s">
        <v>16</v>
      </c>
      <c r="BB95" t="s">
        <v>16</v>
      </c>
      <c r="BD95">
        <v>0.85889570552147199</v>
      </c>
      <c r="BF95">
        <v>1</v>
      </c>
      <c r="BH95" t="s">
        <v>16</v>
      </c>
      <c r="BK95" t="s">
        <v>16</v>
      </c>
      <c r="BL95">
        <v>0.79768183647225199</v>
      </c>
      <c r="BN95">
        <v>0.83055555555555505</v>
      </c>
      <c r="BP95">
        <v>0.91779739287830597</v>
      </c>
      <c r="BS95">
        <v>0.61619402138025503</v>
      </c>
      <c r="BT95" t="s">
        <v>16</v>
      </c>
      <c r="BV95" t="s">
        <v>16</v>
      </c>
      <c r="BW95" t="s">
        <v>16</v>
      </c>
      <c r="BX95">
        <v>0.77855606060605997</v>
      </c>
      <c r="BY95" t="s">
        <v>16</v>
      </c>
      <c r="CA95">
        <v>0.99901261739011105</v>
      </c>
      <c r="CB95" t="s">
        <v>16</v>
      </c>
      <c r="CD95" t="s">
        <v>16</v>
      </c>
      <c r="CF95" t="s">
        <v>16</v>
      </c>
      <c r="CG95">
        <v>0.9</v>
      </c>
      <c r="CI95">
        <f t="shared" si="5"/>
        <v>0.90573728087562733</v>
      </c>
      <c r="CJ95">
        <f t="shared" si="3"/>
        <v>0.58842473971938103</v>
      </c>
      <c r="CK95">
        <f t="shared" si="4"/>
        <v>0.85145151750599446</v>
      </c>
    </row>
    <row r="96" spans="1:89" x14ac:dyDescent="0.25">
      <c r="A96" t="s">
        <v>62</v>
      </c>
      <c r="B96" t="s">
        <v>55</v>
      </c>
      <c r="C96" s="1">
        <v>6</v>
      </c>
      <c r="D96" s="3">
        <v>2</v>
      </c>
      <c r="E96" s="3">
        <v>2</v>
      </c>
      <c r="F96" s="3">
        <v>2</v>
      </c>
      <c r="G96" s="3">
        <v>2</v>
      </c>
      <c r="AH96">
        <v>0.70588235294117596</v>
      </c>
      <c r="AI96">
        <v>0.89705882352941102</v>
      </c>
      <c r="AL96">
        <v>0.34185456627486299</v>
      </c>
      <c r="AP96" t="s">
        <v>16</v>
      </c>
      <c r="AW96">
        <v>0</v>
      </c>
      <c r="AX96">
        <v>0</v>
      </c>
      <c r="AZ96" t="s">
        <v>16</v>
      </c>
      <c r="BB96" t="s">
        <v>16</v>
      </c>
      <c r="BD96">
        <v>0.80254777070063699</v>
      </c>
      <c r="BF96">
        <v>0.93691137879751796</v>
      </c>
      <c r="BH96" t="s">
        <v>16</v>
      </c>
      <c r="BK96" t="s">
        <v>16</v>
      </c>
      <c r="BL96" t="s">
        <v>16</v>
      </c>
      <c r="BN96">
        <v>0.99475303191057396</v>
      </c>
      <c r="BP96">
        <v>0.710280373831775</v>
      </c>
      <c r="BS96">
        <v>0.21109548169995901</v>
      </c>
      <c r="BT96" t="s">
        <v>16</v>
      </c>
      <c r="BV96" t="s">
        <v>16</v>
      </c>
      <c r="BW96">
        <v>0.892941537207673</v>
      </c>
      <c r="BX96" t="s">
        <v>16</v>
      </c>
      <c r="BY96">
        <v>1</v>
      </c>
      <c r="CA96" t="s">
        <v>16</v>
      </c>
      <c r="CB96" t="s">
        <v>16</v>
      </c>
      <c r="CD96" t="s">
        <v>16</v>
      </c>
      <c r="CF96">
        <v>0.988412583835659</v>
      </c>
      <c r="CG96" t="s">
        <v>16</v>
      </c>
      <c r="CI96">
        <f t="shared" si="5"/>
        <v>0.82315386420059977</v>
      </c>
      <c r="CJ96">
        <f t="shared" si="3"/>
        <v>0.29797228535446801</v>
      </c>
      <c r="CK96">
        <f t="shared" si="4"/>
        <v>0.95870238431796861</v>
      </c>
    </row>
    <row r="97" spans="1:89" x14ac:dyDescent="0.25">
      <c r="A97" t="s">
        <v>83</v>
      </c>
      <c r="B97">
        <v>3</v>
      </c>
      <c r="C97" s="1"/>
      <c r="D97" s="3">
        <v>2</v>
      </c>
      <c r="E97" s="3">
        <v>2</v>
      </c>
      <c r="F97" s="3">
        <v>2</v>
      </c>
      <c r="G97" s="3">
        <v>3</v>
      </c>
      <c r="AH97" t="s">
        <v>16</v>
      </c>
      <c r="AI97" t="s">
        <v>16</v>
      </c>
      <c r="AL97" t="s">
        <v>16</v>
      </c>
      <c r="AP97" t="s">
        <v>16</v>
      </c>
      <c r="AW97" t="s">
        <v>16</v>
      </c>
      <c r="AX97" t="s">
        <v>16</v>
      </c>
      <c r="AZ97">
        <v>0.84729064039408797</v>
      </c>
      <c r="BB97">
        <v>0.83333333333333304</v>
      </c>
      <c r="BD97" t="s">
        <v>16</v>
      </c>
      <c r="BF97" t="s">
        <v>16</v>
      </c>
      <c r="BH97">
        <v>0.79824561403508698</v>
      </c>
      <c r="BK97" t="s">
        <v>16</v>
      </c>
      <c r="BL97" t="s">
        <v>16</v>
      </c>
      <c r="BN97">
        <v>0.97835909590643</v>
      </c>
      <c r="BP97" t="s">
        <v>16</v>
      </c>
      <c r="BS97" t="s">
        <v>16</v>
      </c>
      <c r="BT97">
        <v>0.89473684210526305</v>
      </c>
      <c r="BV97" t="s">
        <v>16</v>
      </c>
      <c r="BW97" t="s">
        <v>16</v>
      </c>
      <c r="BX97" t="s">
        <v>16</v>
      </c>
      <c r="BY97" t="s">
        <v>16</v>
      </c>
      <c r="CA97" t="s">
        <v>16</v>
      </c>
      <c r="CB97">
        <v>0.5</v>
      </c>
      <c r="CD97">
        <v>0.52941176470588203</v>
      </c>
      <c r="CF97" t="s">
        <v>16</v>
      </c>
      <c r="CG97" t="s">
        <v>16</v>
      </c>
      <c r="CI97">
        <f t="shared" si="5"/>
        <v>0.7338363657622754</v>
      </c>
      <c r="CJ97">
        <f t="shared" si="3"/>
        <v>0</v>
      </c>
      <c r="CK97">
        <f t="shared" si="4"/>
        <v>0.97835909590643</v>
      </c>
    </row>
    <row r="98" spans="1:89" x14ac:dyDescent="0.25">
      <c r="A98" t="s">
        <v>107</v>
      </c>
      <c r="B98">
        <v>1</v>
      </c>
      <c r="C98" s="1">
        <v>9</v>
      </c>
      <c r="D98" s="3">
        <v>3</v>
      </c>
      <c r="E98" s="3">
        <v>3</v>
      </c>
      <c r="F98" s="3">
        <v>2</v>
      </c>
      <c r="G98" s="3">
        <v>3</v>
      </c>
      <c r="AH98" t="s">
        <v>16</v>
      </c>
      <c r="AI98" t="s">
        <v>16</v>
      </c>
      <c r="AL98" t="s">
        <v>16</v>
      </c>
      <c r="AP98">
        <v>1</v>
      </c>
      <c r="AW98" t="s">
        <v>16</v>
      </c>
      <c r="AX98" t="s">
        <v>16</v>
      </c>
      <c r="AZ98" t="s">
        <v>16</v>
      </c>
      <c r="BB98" t="s">
        <v>16</v>
      </c>
      <c r="BD98" t="s">
        <v>16</v>
      </c>
      <c r="BF98">
        <v>0.78628972313847501</v>
      </c>
      <c r="BH98" t="s">
        <v>16</v>
      </c>
      <c r="BK98" t="s">
        <v>16</v>
      </c>
      <c r="BL98" t="s">
        <v>16</v>
      </c>
      <c r="BN98" t="s">
        <v>16</v>
      </c>
      <c r="BP98" t="s">
        <v>16</v>
      </c>
      <c r="BS98">
        <v>0</v>
      </c>
      <c r="BT98" t="s">
        <v>16</v>
      </c>
      <c r="BV98">
        <v>0.70855719571711595</v>
      </c>
      <c r="BW98">
        <v>0.55277777777777704</v>
      </c>
      <c r="BX98" t="s">
        <v>16</v>
      </c>
      <c r="BY98" t="s">
        <v>16</v>
      </c>
      <c r="CA98" t="s">
        <v>16</v>
      </c>
      <c r="CB98" t="s">
        <v>16</v>
      </c>
      <c r="CD98" t="s">
        <v>16</v>
      </c>
      <c r="CF98" t="s">
        <v>16</v>
      </c>
      <c r="CG98" t="s">
        <v>16</v>
      </c>
      <c r="CI98">
        <f t="shared" si="5"/>
        <v>0</v>
      </c>
      <c r="CJ98">
        <f t="shared" si="3"/>
        <v>0.595429907712825</v>
      </c>
      <c r="CK98">
        <f t="shared" si="4"/>
        <v>0.63066748674744644</v>
      </c>
    </row>
    <row r="99" spans="1:89" x14ac:dyDescent="0.25">
      <c r="A99" t="s">
        <v>97</v>
      </c>
      <c r="B99">
        <v>1</v>
      </c>
      <c r="C99" s="1">
        <v>10</v>
      </c>
      <c r="D99" s="3">
        <v>3</v>
      </c>
      <c r="E99" s="3">
        <v>3</v>
      </c>
      <c r="F99" s="3">
        <v>2</v>
      </c>
      <c r="G99" s="3">
        <v>3</v>
      </c>
      <c r="AH99" t="s">
        <v>16</v>
      </c>
      <c r="AI99" t="s">
        <v>16</v>
      </c>
      <c r="AL99" t="s">
        <v>16</v>
      </c>
      <c r="AP99">
        <v>0.72795076343986598</v>
      </c>
      <c r="AW99">
        <v>0</v>
      </c>
      <c r="AX99" t="s">
        <v>16</v>
      </c>
      <c r="AZ99" t="s">
        <v>16</v>
      </c>
      <c r="BB99" t="s">
        <v>16</v>
      </c>
      <c r="BD99" t="s">
        <v>16</v>
      </c>
      <c r="BF99">
        <v>0.265058225332922</v>
      </c>
      <c r="BH99" t="s">
        <v>16</v>
      </c>
      <c r="BK99" t="s">
        <v>16</v>
      </c>
      <c r="BL99" t="s">
        <v>16</v>
      </c>
      <c r="BN99" t="s">
        <v>16</v>
      </c>
      <c r="BP99" t="s">
        <v>16</v>
      </c>
      <c r="BS99">
        <v>1</v>
      </c>
      <c r="BT99" t="s">
        <v>16</v>
      </c>
      <c r="BV99">
        <v>0.93118013147647505</v>
      </c>
      <c r="BW99">
        <v>0.620050641025641</v>
      </c>
      <c r="BX99" t="s">
        <v>16</v>
      </c>
      <c r="BY99" t="s">
        <v>16</v>
      </c>
      <c r="CA99" t="s">
        <v>16</v>
      </c>
      <c r="CB99" t="s">
        <v>16</v>
      </c>
      <c r="CD99" t="s">
        <v>16</v>
      </c>
      <c r="CF99" t="s">
        <v>16</v>
      </c>
      <c r="CG99" t="s">
        <v>16</v>
      </c>
      <c r="CI99">
        <f t="shared" si="5"/>
        <v>0</v>
      </c>
      <c r="CJ99">
        <f t="shared" si="3"/>
        <v>0.49825224719319694</v>
      </c>
      <c r="CK99">
        <f t="shared" si="4"/>
        <v>0.77561538625105797</v>
      </c>
    </row>
    <row r="100" spans="1:89" x14ac:dyDescent="0.25">
      <c r="A100" t="s">
        <v>53</v>
      </c>
      <c r="B100" t="s">
        <v>55</v>
      </c>
      <c r="C100" s="1">
        <v>9</v>
      </c>
      <c r="D100" s="3">
        <v>2</v>
      </c>
      <c r="E100" s="3">
        <v>3</v>
      </c>
      <c r="F100" s="3">
        <v>2</v>
      </c>
      <c r="G100" s="3">
        <v>2</v>
      </c>
      <c r="AH100">
        <v>0.952380952380952</v>
      </c>
      <c r="AI100">
        <v>0.95615803533087795</v>
      </c>
      <c r="AL100">
        <v>0.72795076343986598</v>
      </c>
      <c r="AP100" t="s">
        <v>16</v>
      </c>
      <c r="AW100" t="s">
        <v>16</v>
      </c>
      <c r="AX100">
        <v>1</v>
      </c>
      <c r="AZ100" t="s">
        <v>16</v>
      </c>
      <c r="BB100" t="s">
        <v>16</v>
      </c>
      <c r="BD100">
        <v>0.78813559322033899</v>
      </c>
      <c r="BF100">
        <v>0.77671328404376305</v>
      </c>
      <c r="BH100" t="s">
        <v>16</v>
      </c>
      <c r="BK100" t="s">
        <v>16</v>
      </c>
      <c r="BL100" t="s">
        <v>16</v>
      </c>
      <c r="BN100">
        <v>0.98197189713348798</v>
      </c>
      <c r="BP100">
        <v>0.90909090909090895</v>
      </c>
      <c r="BS100" t="s">
        <v>16</v>
      </c>
      <c r="BT100" t="s">
        <v>16</v>
      </c>
      <c r="BV100" t="s">
        <v>16</v>
      </c>
      <c r="BW100">
        <v>0.82665702130389496</v>
      </c>
      <c r="BX100" t="s">
        <v>16</v>
      </c>
      <c r="BY100">
        <v>0.78125</v>
      </c>
      <c r="CA100" t="s">
        <v>16</v>
      </c>
      <c r="CB100" t="s">
        <v>16</v>
      </c>
      <c r="CD100" t="s">
        <v>16</v>
      </c>
      <c r="CF100">
        <v>1</v>
      </c>
      <c r="CG100">
        <v>1</v>
      </c>
      <c r="CI100">
        <f t="shared" si="5"/>
        <v>0.8978359150038463</v>
      </c>
      <c r="CJ100">
        <f t="shared" si="3"/>
        <v>0.83488801582787631</v>
      </c>
      <c r="CK100">
        <f t="shared" si="4"/>
        <v>0.93620963947912761</v>
      </c>
    </row>
  </sheetData>
  <autoFilter ref="A1:CG100">
    <sortState ref="A2:CG100">
      <sortCondition ref="A1:A100"/>
    </sortState>
  </autoFilter>
  <dataValidations count="9">
    <dataValidation type="list" allowBlank="1" showInputMessage="1" showErrorMessage="1" sqref="E1">
      <formula1>$P$2:$P$3</formula1>
    </dataValidation>
    <dataValidation type="list" allowBlank="1" showInputMessage="1" showErrorMessage="1" sqref="F1 G2">
      <formula1>$Q$2:$Q$4</formula1>
    </dataValidation>
    <dataValidation type="list" allowBlank="1" showInputMessage="1" showErrorMessage="1" sqref="D1">
      <formula1>$O$2:$O$3</formula1>
    </dataValidation>
    <dataValidation type="list" allowBlank="1" showInputMessage="1" showErrorMessage="1" sqref="G1">
      <formula1>$R$2:$R$3</formula1>
    </dataValidation>
    <dataValidation type="list" allowBlank="1" showInputMessage="1" showErrorMessage="1" sqref="D2 F50 F4:F5 F70 F57 F30 F43">
      <formula1>$N$2:$N$4</formula1>
    </dataValidation>
    <dataValidation type="list" allowBlank="1" showInputMessage="1" showErrorMessage="1" sqref="E2 G50 G5 G70 G42 G30">
      <formula1>$O$2:$O$4</formula1>
    </dataValidation>
    <dataValidation type="list" allowBlank="1" showInputMessage="1" showErrorMessage="1" sqref="F2">
      <formula1>$P$2:$P$4</formula1>
    </dataValidation>
    <dataValidation type="list" allowBlank="1" showInputMessage="1" showErrorMessage="1" sqref="E59 E15 E70 E30 E39 E63 E50 E56:E57">
      <formula1>$M$2:$M$4</formula1>
    </dataValidation>
    <dataValidation type="list" allowBlank="1" showInputMessage="1" showErrorMessage="1" sqref="D70 D5 D57 D30 D39 D42:D43 D50">
      <formula1>$L$2:$L$4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Roko</dc:creator>
  <cp:lastModifiedBy>Roko</cp:lastModifiedBy>
  <dcterms:created xsi:type="dcterms:W3CDTF">2017-06-21T06:24:49Z</dcterms:created>
  <dcterms:modified xsi:type="dcterms:W3CDTF">2017-06-27T15:41:22Z</dcterms:modified>
</cp:coreProperties>
</file>